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Desktop\신규검사항목\2024년 신규검사\18. Ach-r-binding Ab\"/>
    </mc:Choice>
  </mc:AlternateContent>
  <bookViews>
    <workbookView xWindow="0" yWindow="0" windowWidth="28800" windowHeight="10410"/>
  </bookViews>
  <sheets>
    <sheet name="재현성" sheetId="2" r:id="rId1"/>
    <sheet name="상관성" sheetId="1" r:id="rId2"/>
    <sheet name="상관성 (2)" sheetId="4" r:id="rId3"/>
  </sheets>
  <definedNames>
    <definedName name="_xlnm.Print_Titles" localSheetId="1">상관성!$1:$14</definedName>
    <definedName name="_xlnm.Print_Titles" localSheetId="2">'상관성 (2)'!$1:$14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F9" i="2"/>
  <c r="F8" i="2"/>
  <c r="F7" i="2"/>
  <c r="F5" i="2"/>
  <c r="D61" i="4" l="1"/>
  <c r="D60" i="4"/>
  <c r="D58" i="4"/>
  <c r="M15" i="1" l="1"/>
  <c r="G63" i="1"/>
  <c r="F19" i="2"/>
  <c r="G19" i="2" s="1"/>
  <c r="E19" i="2"/>
  <c r="F18" i="2"/>
  <c r="E18" i="2"/>
  <c r="F17" i="2"/>
  <c r="G17" i="2" s="1"/>
  <c r="E17" i="2"/>
  <c r="F16" i="2"/>
  <c r="E16" i="2"/>
  <c r="G16" i="2" s="1"/>
  <c r="F15" i="2"/>
  <c r="G15" i="2" s="1"/>
  <c r="E15" i="2"/>
  <c r="G9" i="2"/>
  <c r="E9" i="2"/>
  <c r="E8" i="2"/>
  <c r="G8" i="2" s="1"/>
  <c r="G7" i="2"/>
  <c r="E7" i="2"/>
  <c r="F6" i="2"/>
  <c r="E6" i="2"/>
  <c r="G6" i="2" s="1"/>
  <c r="E5" i="2"/>
  <c r="G10" i="2" l="1"/>
  <c r="G18" i="2"/>
  <c r="G20" i="2" s="1"/>
  <c r="F61" i="1" a="1"/>
  <c r="F61" i="1" s="1"/>
  <c r="F60" i="1" a="1"/>
  <c r="F60" i="1" s="1"/>
  <c r="E60" i="1" l="1" a="1"/>
  <c r="E60" i="1" s="1"/>
  <c r="D60" i="1" a="1"/>
  <c r="D60" i="1" s="1"/>
  <c r="F62" i="1"/>
  <c r="D61" i="1" a="1"/>
  <c r="D61" i="1" s="1"/>
  <c r="E61" i="1" a="1"/>
  <c r="E61" i="1" s="1"/>
  <c r="E62" i="1" s="1"/>
  <c r="G60" i="1" l="1"/>
  <c r="G64" i="1"/>
  <c r="G61" i="1"/>
  <c r="G66" i="1"/>
  <c r="D62" i="1"/>
  <c r="G65" i="1"/>
  <c r="G62" i="1" l="1"/>
</calcChain>
</file>

<file path=xl/sharedStrings.xml><?xml version="1.0" encoding="utf-8"?>
<sst xmlns="http://schemas.openxmlformats.org/spreadsheetml/2006/main" count="379" uniqueCount="64">
  <si>
    <t>Assay</t>
    <phoneticPr fontId="3" type="noConversion"/>
  </si>
  <si>
    <t xml:space="preserve"> Unit</t>
    <phoneticPr fontId="3" type="noConversion"/>
  </si>
  <si>
    <t>Negative</t>
    <phoneticPr fontId="13" type="noConversion"/>
  </si>
  <si>
    <t>Equivocal</t>
    <phoneticPr fontId="4" type="noConversion"/>
  </si>
  <si>
    <t>Positive</t>
    <phoneticPr fontId="13" type="noConversion"/>
  </si>
  <si>
    <t>Test</t>
  </si>
  <si>
    <t>일치 여부</t>
    <phoneticPr fontId="4" type="noConversion"/>
  </si>
  <si>
    <t>No.</t>
  </si>
  <si>
    <t>Conc.</t>
    <phoneticPr fontId="4" type="noConversion"/>
  </si>
  <si>
    <t>Result</t>
  </si>
  <si>
    <t>Negative</t>
  </si>
  <si>
    <t>Positive</t>
  </si>
  <si>
    <t>Total</t>
  </si>
  <si>
    <t>Correlation ratio :</t>
  </si>
  <si>
    <t xml:space="preserve">Negative ratio: </t>
    <phoneticPr fontId="4" type="noConversion"/>
  </si>
  <si>
    <t>Positive ratio :</t>
    <phoneticPr fontId="4" type="noConversion"/>
  </si>
  <si>
    <t>Equivocal + Positive ratio :</t>
    <phoneticPr fontId="4" type="noConversion"/>
  </si>
  <si>
    <t>nmol/L</t>
    <phoneticPr fontId="3" type="noConversion"/>
  </si>
  <si>
    <t>Ach-r-binding Ab</t>
    <phoneticPr fontId="3" type="noConversion"/>
  </si>
  <si>
    <t>RSR (old)</t>
    <phoneticPr fontId="3" type="noConversion"/>
  </si>
  <si>
    <t>DIAsource (new)</t>
    <phoneticPr fontId="3" type="noConversion"/>
  </si>
  <si>
    <t>&lt;0.25</t>
    <phoneticPr fontId="3" type="noConversion"/>
  </si>
  <si>
    <t>0.25-0.40</t>
    <phoneticPr fontId="3" type="noConversion"/>
  </si>
  <si>
    <t>&gt;0.40</t>
    <phoneticPr fontId="3" type="noConversion"/>
  </si>
  <si>
    <t>&lt;0.50</t>
    <phoneticPr fontId="3" type="noConversion"/>
  </si>
  <si>
    <t>&lt;0.02</t>
    <phoneticPr fontId="3" type="noConversion"/>
  </si>
  <si>
    <t>&lt;0.07</t>
    <phoneticPr fontId="3" type="noConversion"/>
  </si>
  <si>
    <t>&gt;8.00</t>
    <phoneticPr fontId="3" type="noConversion"/>
  </si>
  <si>
    <t>Negative</t>
    <phoneticPr fontId="3" type="noConversion"/>
  </si>
  <si>
    <t>Positive</t>
    <phoneticPr fontId="3" type="noConversion"/>
  </si>
  <si>
    <t xml:space="preserve">일치 </t>
    <phoneticPr fontId="4" type="noConversion"/>
  </si>
  <si>
    <t>불일치</t>
    <phoneticPr fontId="3" type="noConversion"/>
  </si>
  <si>
    <t>-</t>
    <phoneticPr fontId="3" type="noConversion"/>
  </si>
  <si>
    <t>≥0.50</t>
    <phoneticPr fontId="3" type="noConversion"/>
  </si>
  <si>
    <t xml:space="preserve">Precision </t>
    <phoneticPr fontId="13" type="noConversion"/>
  </si>
  <si>
    <t>방법1. Intraassay : 검체 5개를 동일 batch에서 2회 검사하여 비교</t>
    <phoneticPr fontId="13" type="noConversion"/>
  </si>
  <si>
    <t>Intraassay</t>
    <phoneticPr fontId="13" type="noConversion"/>
  </si>
  <si>
    <t>1회</t>
    <phoneticPr fontId="13" type="noConversion"/>
  </si>
  <si>
    <t>2회</t>
    <phoneticPr fontId="13" type="noConversion"/>
  </si>
  <si>
    <t>Mean</t>
  </si>
  <si>
    <t>SD</t>
  </si>
  <si>
    <t>CV(%)</t>
    <phoneticPr fontId="13" type="noConversion"/>
  </si>
  <si>
    <t>Average:</t>
    <phoneticPr fontId="13" type="noConversion"/>
  </si>
  <si>
    <t>방법2. Interassay : 검체 5개를 2일간 검사하여 비교</t>
    <phoneticPr fontId="13" type="noConversion"/>
  </si>
  <si>
    <t>Interassay</t>
    <phoneticPr fontId="13" type="noConversion"/>
  </si>
  <si>
    <t xml:space="preserve">day1 </t>
    <phoneticPr fontId="13" type="noConversion"/>
  </si>
  <si>
    <t>day 2
(Intraassay mean)</t>
    <phoneticPr fontId="13" type="noConversion"/>
  </si>
  <si>
    <t>CV(%)</t>
    <phoneticPr fontId="13" type="noConversion"/>
  </si>
  <si>
    <t>Average:</t>
    <phoneticPr fontId="13" type="noConversion"/>
  </si>
  <si>
    <t>DIAsource (new)</t>
    <phoneticPr fontId="3" type="noConversion"/>
  </si>
  <si>
    <t>RSR</t>
    <phoneticPr fontId="3" type="noConversion"/>
  </si>
  <si>
    <t>*&lt;0.02는 0.02로 표기</t>
    <phoneticPr fontId="3" type="noConversion"/>
  </si>
  <si>
    <t>*&lt;0.07는 0.07로 표기</t>
    <phoneticPr fontId="3" type="noConversion"/>
  </si>
  <si>
    <t>*&gt;8.0은 희석검사를 하여 표기</t>
    <phoneticPr fontId="3" type="noConversion"/>
  </si>
  <si>
    <t>허용기준</t>
    <phoneticPr fontId="3" type="noConversion"/>
  </si>
  <si>
    <t>Slope</t>
    <phoneticPr fontId="3" type="noConversion"/>
  </si>
  <si>
    <t>Intercept</t>
    <phoneticPr fontId="3" type="noConversion"/>
  </si>
  <si>
    <t>판정</t>
    <phoneticPr fontId="3" type="noConversion"/>
  </si>
  <si>
    <t>상관계수(R)</t>
    <phoneticPr fontId="3" type="noConversion"/>
  </si>
  <si>
    <t>Acceptable</t>
  </si>
  <si>
    <t>RSR vs DIAsource</t>
    <phoneticPr fontId="3" type="noConversion"/>
  </si>
  <si>
    <r>
      <t xml:space="preserve">  </t>
    </r>
    <r>
      <rPr>
        <b/>
        <sz val="20"/>
        <color theme="1"/>
        <rFont val="맑은 고딕"/>
        <family val="3"/>
        <charset val="129"/>
        <scheme val="major"/>
      </rPr>
      <t xml:space="preserve"> Comparison Test(정성)</t>
    </r>
    <phoneticPr fontId="4" type="noConversion"/>
  </si>
  <si>
    <r>
      <t xml:space="preserve">  </t>
    </r>
    <r>
      <rPr>
        <b/>
        <sz val="20"/>
        <color theme="1"/>
        <rFont val="맑은 고딕"/>
        <family val="3"/>
        <charset val="129"/>
        <scheme val="major"/>
      </rPr>
      <t xml:space="preserve"> Comparison Test(정량)</t>
    </r>
    <phoneticPr fontId="4" type="noConversion"/>
  </si>
  <si>
    <r>
      <t>결정계수(R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2"/>
        <charset val="129"/>
        <scheme val="minor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</si>
</sst>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0_ "/>
    <numFmt numFmtId="177" formatCode="#,##0.00_ "/>
    <numFmt numFmtId="178" formatCode="#,##0.000_ "/>
    <numFmt numFmtId="179" formatCode="0.00_);[Red]\(0.00\)"/>
    <numFmt numFmtId="180" formatCode="0.0_ "/>
    <numFmt numFmtId="181" formatCode="0.0_);[Red]\(0.0\)"/>
    <numFmt numFmtId="182" formatCode="0.000_ ;[Red]\-0.000\ 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9"/>
      <name val="Arial"/>
      <family val="2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name val="Arial"/>
      <family val="2"/>
    </font>
    <font>
      <b/>
      <sz val="9"/>
      <name val="맑은 고딕"/>
      <family val="3"/>
      <charset val="129"/>
      <scheme val="major"/>
    </font>
    <font>
      <i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9" tint="-0.249977111117893"/>
      <name val="맑은 고딕"/>
      <family val="3"/>
      <charset val="129"/>
    </font>
    <font>
      <i/>
      <sz val="9"/>
      <name val="맑은 고딕"/>
      <family val="3"/>
      <charset val="129"/>
      <scheme val="major"/>
    </font>
    <font>
      <sz val="9"/>
      <color theme="9" tint="-0.249977111117893"/>
      <name val="맑은 고딕"/>
      <family val="3"/>
      <charset val="129"/>
      <scheme val="major"/>
    </font>
    <font>
      <i/>
      <sz val="9"/>
      <color theme="9" tint="-0.249977111117893"/>
      <name val="맑은 고딕"/>
      <family val="3"/>
      <charset val="129"/>
      <scheme val="major"/>
    </font>
    <font>
      <b/>
      <sz val="11"/>
      <color theme="9" tint="-0.249977111117893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i/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sz val="24"/>
      <name val="Arial"/>
      <family val="2"/>
    </font>
    <font>
      <b/>
      <sz val="11"/>
      <name val="맑은 고딕"/>
      <family val="3"/>
      <charset val="129"/>
      <scheme val="minor"/>
    </font>
    <font>
      <sz val="11"/>
      <name val="Arial"/>
      <family val="2"/>
    </font>
    <font>
      <sz val="11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 tint="-0.34998626667073579"/>
      <name val="맑은 고딕"/>
      <family val="2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theme="0" tint="-0.499984740745262"/>
      </bottom>
      <diagonal/>
    </border>
    <border>
      <left/>
      <right/>
      <top style="thin">
        <color indexed="64"/>
      </top>
      <bottom style="double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double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theme="0" tint="-0.499984740745262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thin">
        <color indexed="64"/>
      </right>
      <top/>
      <bottom style="double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5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9" fillId="0" borderId="0"/>
    <xf numFmtId="0" fontId="41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68">
    <xf numFmtId="0" fontId="0" fillId="0" borderId="0" xfId="0">
      <alignment vertical="center"/>
    </xf>
    <xf numFmtId="0" fontId="8" fillId="2" borderId="5" xfId="2" applyFont="1" applyFill="1" applyBorder="1">
      <alignment vertical="center"/>
    </xf>
    <xf numFmtId="0" fontId="10" fillId="2" borderId="10" xfId="2" applyFont="1" applyFill="1" applyBorder="1">
      <alignment vertical="center"/>
    </xf>
    <xf numFmtId="0" fontId="7" fillId="2" borderId="10" xfId="2" applyFont="1" applyFill="1" applyBorder="1">
      <alignment vertical="center"/>
    </xf>
    <xf numFmtId="0" fontId="8" fillId="2" borderId="10" xfId="2" applyFont="1" applyFill="1" applyBorder="1">
      <alignment vertical="center"/>
    </xf>
    <xf numFmtId="0" fontId="8" fillId="2" borderId="10" xfId="2" applyFont="1" applyFill="1" applyBorder="1" applyAlignment="1">
      <alignment horizontal="left" vertical="center"/>
    </xf>
    <xf numFmtId="0" fontId="8" fillId="2" borderId="12" xfId="2" applyFont="1" applyFill="1" applyBorder="1">
      <alignment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left" vertical="center"/>
    </xf>
    <xf numFmtId="0" fontId="5" fillId="0" borderId="0" xfId="1" applyFont="1">
      <alignment vertical="center"/>
    </xf>
    <xf numFmtId="0" fontId="7" fillId="0" borderId="0" xfId="2" applyFont="1">
      <alignment vertical="center"/>
    </xf>
    <xf numFmtId="0" fontId="8" fillId="0" borderId="12" xfId="2" applyFont="1" applyBorder="1">
      <alignment vertical="center"/>
    </xf>
    <xf numFmtId="0" fontId="10" fillId="0" borderId="12" xfId="2" applyFont="1" applyBorder="1">
      <alignment vertical="center"/>
    </xf>
    <xf numFmtId="178" fontId="8" fillId="0" borderId="12" xfId="2" applyNumberFormat="1" applyFont="1" applyBorder="1" applyAlignment="1">
      <alignment horizontal="left" vertical="center"/>
    </xf>
    <xf numFmtId="178" fontId="8" fillId="0" borderId="0" xfId="2" applyNumberFormat="1" applyFont="1" applyAlignment="1">
      <alignment horizontal="left" vertical="center"/>
    </xf>
    <xf numFmtId="0" fontId="14" fillId="0" borderId="0" xfId="1" applyFont="1">
      <alignment vertical="center"/>
    </xf>
    <xf numFmtId="0" fontId="7" fillId="0" borderId="6" xfId="2" applyFont="1" applyBorder="1">
      <alignment vertical="center"/>
    </xf>
    <xf numFmtId="0" fontId="9" fillId="0" borderId="17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16" fillId="0" borderId="18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0" fillId="0" borderId="0" xfId="1" applyFont="1">
      <alignment vertical="center"/>
    </xf>
    <xf numFmtId="0" fontId="12" fillId="0" borderId="6" xfId="2" applyFont="1" applyBorder="1">
      <alignment vertical="center"/>
    </xf>
    <xf numFmtId="176" fontId="17" fillId="0" borderId="22" xfId="2" applyNumberFormat="1" applyFont="1" applyBorder="1" applyAlignment="1">
      <alignment horizontal="center" vertical="center"/>
    </xf>
    <xf numFmtId="2" fontId="10" fillId="0" borderId="22" xfId="4" applyNumberFormat="1" applyFont="1" applyFill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center" vertical="center"/>
    </xf>
    <xf numFmtId="0" fontId="12" fillId="0" borderId="0" xfId="2" applyFont="1" applyAlignment="1"/>
    <xf numFmtId="0" fontId="12" fillId="0" borderId="0" xfId="2" applyFont="1">
      <alignment vertical="center"/>
    </xf>
    <xf numFmtId="0" fontId="9" fillId="0" borderId="0" xfId="2" applyFont="1">
      <alignment vertical="center"/>
    </xf>
    <xf numFmtId="0" fontId="20" fillId="0" borderId="0" xfId="2" applyFont="1">
      <alignment vertical="center"/>
    </xf>
    <xf numFmtId="2" fontId="22" fillId="0" borderId="0" xfId="4" applyNumberFormat="1" applyFont="1" applyFill="1" applyBorder="1" applyAlignment="1">
      <alignment horizontal="center" vertical="center"/>
    </xf>
    <xf numFmtId="0" fontId="24" fillId="0" borderId="0" xfId="2" applyFont="1">
      <alignment vertical="center"/>
    </xf>
    <xf numFmtId="0" fontId="26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49" fontId="18" fillId="0" borderId="0" xfId="0" applyNumberFormat="1" applyFont="1">
      <alignment vertical="center"/>
    </xf>
    <xf numFmtId="49" fontId="18" fillId="0" borderId="22" xfId="0" applyNumberFormat="1" applyFont="1" applyBorder="1">
      <alignment vertical="center"/>
    </xf>
    <xf numFmtId="0" fontId="18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30" fillId="0" borderId="0" xfId="1" applyFont="1">
      <alignment vertical="center"/>
    </xf>
    <xf numFmtId="0" fontId="31" fillId="0" borderId="0" xfId="1" applyFont="1" applyAlignment="1">
      <alignment horizontal="right" vertical="center"/>
    </xf>
    <xf numFmtId="2" fontId="18" fillId="0" borderId="22" xfId="0" applyNumberFormat="1" applyFont="1" applyBorder="1" applyAlignment="1">
      <alignment horizontal="center" vertical="center"/>
    </xf>
    <xf numFmtId="176" fontId="32" fillId="0" borderId="22" xfId="2" applyNumberFormat="1" applyFont="1" applyBorder="1" applyAlignment="1">
      <alignment horizontal="center" vertical="center"/>
    </xf>
    <xf numFmtId="2" fontId="33" fillId="0" borderId="22" xfId="0" applyNumberFormat="1" applyFont="1" applyBorder="1" applyAlignment="1">
      <alignment horizontal="center" vertical="center"/>
    </xf>
    <xf numFmtId="2" fontId="34" fillId="0" borderId="22" xfId="4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7" fillId="2" borderId="4" xfId="2" applyFont="1" applyFill="1" applyBorder="1">
      <alignment vertical="center"/>
    </xf>
    <xf numFmtId="0" fontId="8" fillId="2" borderId="0" xfId="2" applyFont="1" applyFill="1" applyBorder="1">
      <alignment vertical="center"/>
    </xf>
    <xf numFmtId="0" fontId="8" fillId="2" borderId="6" xfId="2" applyFont="1" applyFill="1" applyBorder="1">
      <alignment vertical="center"/>
    </xf>
    <xf numFmtId="0" fontId="9" fillId="2" borderId="4" xfId="2" applyFont="1" applyFill="1" applyBorder="1" applyAlignment="1">
      <alignment horizontal="left" vertical="center"/>
    </xf>
    <xf numFmtId="0" fontId="9" fillId="2" borderId="0" xfId="2" applyFont="1" applyFill="1" applyBorder="1" applyAlignment="1">
      <alignment horizontal="left" vertical="center"/>
    </xf>
    <xf numFmtId="0" fontId="5" fillId="2" borderId="0" xfId="1" applyFont="1" applyFill="1" applyBorder="1">
      <alignment vertical="center"/>
    </xf>
    <xf numFmtId="0" fontId="5" fillId="2" borderId="6" xfId="1" applyFont="1" applyFill="1" applyBorder="1">
      <alignment vertical="center"/>
    </xf>
    <xf numFmtId="0" fontId="10" fillId="2" borderId="9" xfId="2" applyFont="1" applyFill="1" applyBorder="1">
      <alignment vertical="center"/>
    </xf>
    <xf numFmtId="0" fontId="8" fillId="2" borderId="11" xfId="2" applyFont="1" applyFill="1" applyBorder="1" applyAlignment="1">
      <alignment horizontal="left" vertical="center"/>
    </xf>
    <xf numFmtId="0" fontId="10" fillId="2" borderId="4" xfId="2" applyFont="1" applyFill="1" applyBorder="1">
      <alignment vertical="center"/>
    </xf>
    <xf numFmtId="0" fontId="10" fillId="2" borderId="0" xfId="2" applyFont="1" applyFill="1" applyBorder="1">
      <alignment vertical="center"/>
    </xf>
    <xf numFmtId="0" fontId="7" fillId="2" borderId="0" xfId="2" applyFont="1" applyFill="1" applyBorder="1">
      <alignment vertical="center"/>
    </xf>
    <xf numFmtId="0" fontId="8" fillId="2" borderId="0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horizontal="left" vertical="center"/>
    </xf>
    <xf numFmtId="0" fontId="8" fillId="2" borderId="6" xfId="2" applyFont="1" applyFill="1" applyBorder="1" applyAlignment="1">
      <alignment horizontal="left" vertical="center"/>
    </xf>
    <xf numFmtId="0" fontId="8" fillId="2" borderId="4" xfId="2" applyFont="1" applyFill="1" applyBorder="1">
      <alignment vertical="center"/>
    </xf>
    <xf numFmtId="0" fontId="11" fillId="2" borderId="0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left" vertical="center"/>
    </xf>
    <xf numFmtId="0" fontId="12" fillId="2" borderId="0" xfId="2" applyFont="1" applyFill="1" applyBorder="1" applyAlignment="1">
      <alignment horizontal="left" vertical="center"/>
    </xf>
    <xf numFmtId="176" fontId="11" fillId="2" borderId="0" xfId="2" applyNumberFormat="1" applyFont="1" applyFill="1" applyBorder="1" applyAlignment="1">
      <alignment horizontal="center" vertical="center"/>
    </xf>
    <xf numFmtId="177" fontId="11" fillId="2" borderId="0" xfId="2" applyNumberFormat="1" applyFont="1" applyFill="1" applyBorder="1" applyAlignment="1">
      <alignment horizontal="center" vertical="center"/>
    </xf>
    <xf numFmtId="0" fontId="7" fillId="2" borderId="15" xfId="2" applyFont="1" applyFill="1" applyBorder="1">
      <alignment vertical="center"/>
    </xf>
    <xf numFmtId="0" fontId="8" fillId="2" borderId="16" xfId="2" applyFont="1" applyFill="1" applyBorder="1" applyAlignment="1">
      <alignment horizontal="left" vertical="center"/>
    </xf>
    <xf numFmtId="0" fontId="15" fillId="0" borderId="0" xfId="5">
      <alignment vertical="center"/>
    </xf>
    <xf numFmtId="0" fontId="37" fillId="0" borderId="0" xfId="5" applyFont="1">
      <alignment vertical="center"/>
    </xf>
    <xf numFmtId="0" fontId="38" fillId="0" borderId="0" xfId="5" applyFont="1">
      <alignment vertical="center"/>
    </xf>
    <xf numFmtId="0" fontId="15" fillId="0" borderId="0" xfId="5" applyFont="1">
      <alignment vertical="center"/>
    </xf>
    <xf numFmtId="0" fontId="26" fillId="2" borderId="22" xfId="6" applyFont="1" applyFill="1" applyBorder="1" applyAlignment="1">
      <alignment horizontal="center" vertical="center"/>
    </xf>
    <xf numFmtId="179" fontId="18" fillId="0" borderId="22" xfId="6" applyNumberFormat="1" applyFont="1" applyFill="1" applyBorder="1" applyAlignment="1">
      <alignment horizontal="center" vertical="center"/>
    </xf>
    <xf numFmtId="179" fontId="26" fillId="0" borderId="22" xfId="6" applyNumberFormat="1" applyFont="1" applyBorder="1" applyAlignment="1">
      <alignment horizontal="center" vertical="center"/>
    </xf>
    <xf numFmtId="0" fontId="18" fillId="0" borderId="22" xfId="6" applyFont="1" applyBorder="1"/>
    <xf numFmtId="0" fontId="26" fillId="5" borderId="22" xfId="5" applyFont="1" applyFill="1" applyBorder="1" applyAlignment="1">
      <alignment horizontal="center" vertical="center"/>
    </xf>
    <xf numFmtId="180" fontId="26" fillId="5" borderId="22" xfId="5" applyNumberFormat="1" applyFont="1" applyFill="1" applyBorder="1" applyAlignment="1">
      <alignment horizontal="center" vertical="center"/>
    </xf>
    <xf numFmtId="0" fontId="15" fillId="0" borderId="0" xfId="5" applyAlignment="1">
      <alignment vertical="center"/>
    </xf>
    <xf numFmtId="0" fontId="0" fillId="0" borderId="0" xfId="0">
      <alignment vertical="center"/>
    </xf>
    <xf numFmtId="0" fontId="8" fillId="2" borderId="5" xfId="2" applyFont="1" applyFill="1" applyBorder="1">
      <alignment vertical="center"/>
    </xf>
    <xf numFmtId="0" fontId="10" fillId="2" borderId="10" xfId="2" applyFont="1" applyFill="1" applyBorder="1">
      <alignment vertical="center"/>
    </xf>
    <xf numFmtId="0" fontId="7" fillId="2" borderId="10" xfId="2" applyFont="1" applyFill="1" applyBorder="1">
      <alignment vertical="center"/>
    </xf>
    <xf numFmtId="0" fontId="8" fillId="2" borderId="10" xfId="2" applyFont="1" applyFill="1" applyBorder="1">
      <alignment vertical="center"/>
    </xf>
    <xf numFmtId="0" fontId="8" fillId="2" borderId="10" xfId="2" applyFont="1" applyFill="1" applyBorder="1" applyAlignment="1">
      <alignment horizontal="left" vertical="center"/>
    </xf>
    <xf numFmtId="0" fontId="8" fillId="2" borderId="12" xfId="2" applyFont="1" applyFill="1" applyBorder="1">
      <alignment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left" vertical="center"/>
    </xf>
    <xf numFmtId="0" fontId="7" fillId="0" borderId="0" xfId="2" applyFont="1">
      <alignment vertical="center"/>
    </xf>
    <xf numFmtId="0" fontId="8" fillId="0" borderId="12" xfId="2" applyFont="1" applyBorder="1">
      <alignment vertical="center"/>
    </xf>
    <xf numFmtId="0" fontId="10" fillId="0" borderId="12" xfId="2" applyFont="1" applyBorder="1">
      <alignment vertical="center"/>
    </xf>
    <xf numFmtId="178" fontId="8" fillId="0" borderId="12" xfId="2" applyNumberFormat="1" applyFont="1" applyBorder="1" applyAlignment="1">
      <alignment horizontal="left" vertical="center"/>
    </xf>
    <xf numFmtId="178" fontId="8" fillId="0" borderId="0" xfId="2" applyNumberFormat="1" applyFont="1" applyAlignment="1">
      <alignment horizontal="left" vertical="center"/>
    </xf>
    <xf numFmtId="0" fontId="7" fillId="0" borderId="6" xfId="2" applyFont="1" applyBorder="1">
      <alignment vertical="center"/>
    </xf>
    <xf numFmtId="0" fontId="9" fillId="0" borderId="17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16" fillId="0" borderId="18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2" fillId="0" borderId="6" xfId="2" applyFont="1" applyBorder="1">
      <alignment vertical="center"/>
    </xf>
    <xf numFmtId="176" fontId="17" fillId="0" borderId="22" xfId="2" applyNumberFormat="1" applyFont="1" applyBorder="1" applyAlignment="1">
      <alignment horizontal="center" vertical="center"/>
    </xf>
    <xf numFmtId="0" fontId="12" fillId="0" borderId="0" xfId="2" applyFont="1" applyAlignment="1"/>
    <xf numFmtId="0" fontId="12" fillId="0" borderId="0" xfId="2" applyFont="1">
      <alignment vertical="center"/>
    </xf>
    <xf numFmtId="0" fontId="9" fillId="0" borderId="0" xfId="2" applyFont="1">
      <alignment vertical="center"/>
    </xf>
    <xf numFmtId="0" fontId="20" fillId="0" borderId="0" xfId="2" applyFont="1">
      <alignment vertical="center"/>
    </xf>
    <xf numFmtId="176" fontId="21" fillId="0" borderId="0" xfId="2" applyNumberFormat="1" applyFont="1" applyAlignment="1">
      <alignment horizontal="left" vertical="center"/>
    </xf>
    <xf numFmtId="2" fontId="22" fillId="0" borderId="0" xfId="10" applyNumberFormat="1" applyFont="1" applyFill="1" applyBorder="1" applyAlignment="1">
      <alignment horizontal="center" vertical="center"/>
    </xf>
    <xf numFmtId="176" fontId="23" fillId="0" borderId="0" xfId="2" applyNumberFormat="1" applyFont="1" applyAlignment="1">
      <alignment horizontal="left" vertical="center"/>
    </xf>
    <xf numFmtId="0" fontId="24" fillId="0" borderId="0" xfId="2" applyFont="1">
      <alignment vertical="center"/>
    </xf>
    <xf numFmtId="176" fontId="32" fillId="0" borderId="22" xfId="2" applyNumberFormat="1" applyFont="1" applyBorder="1" applyAlignment="1">
      <alignment horizontal="center" vertical="center"/>
    </xf>
    <xf numFmtId="2" fontId="30" fillId="0" borderId="22" xfId="4" applyNumberFormat="1" applyFont="1" applyFill="1" applyBorder="1" applyAlignment="1">
      <alignment horizontal="center" vertical="center"/>
    </xf>
    <xf numFmtId="180" fontId="26" fillId="7" borderId="22" xfId="6" applyNumberFormat="1" applyFont="1" applyFill="1" applyBorder="1" applyAlignment="1">
      <alignment horizontal="center" vertical="center"/>
    </xf>
    <xf numFmtId="181" fontId="26" fillId="7" borderId="22" xfId="6" applyNumberFormat="1" applyFont="1" applyFill="1" applyBorder="1" applyAlignment="1">
      <alignment horizontal="center" vertical="center"/>
    </xf>
    <xf numFmtId="0" fontId="40" fillId="4" borderId="20" xfId="6" applyFont="1" applyFill="1" applyBorder="1" applyAlignment="1">
      <alignment horizontal="center" vertical="center"/>
    </xf>
    <xf numFmtId="0" fontId="40" fillId="4" borderId="21" xfId="6" applyFont="1" applyFill="1" applyBorder="1" applyAlignment="1">
      <alignment horizontal="center" vertical="center"/>
    </xf>
    <xf numFmtId="0" fontId="36" fillId="0" borderId="0" xfId="5" applyFont="1" applyAlignment="1">
      <alignment horizontal="center" vertical="center"/>
    </xf>
    <xf numFmtId="0" fontId="26" fillId="4" borderId="22" xfId="6" applyFont="1" applyFill="1" applyBorder="1" applyAlignment="1">
      <alignment horizontal="center" vertical="center"/>
    </xf>
    <xf numFmtId="0" fontId="40" fillId="4" borderId="22" xfId="6" applyFont="1" applyFill="1" applyBorder="1" applyAlignment="1">
      <alignment horizontal="center" vertical="center"/>
    </xf>
    <xf numFmtId="0" fontId="40" fillId="4" borderId="22" xfId="6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textRotation="255" wrapText="1"/>
    </xf>
    <xf numFmtId="0" fontId="28" fillId="0" borderId="22" xfId="0" applyFont="1" applyBorder="1" applyAlignment="1">
      <alignment horizontal="center" vertical="center" textRotation="255" wrapText="1"/>
    </xf>
    <xf numFmtId="176" fontId="11" fillId="2" borderId="8" xfId="2" quotePrefix="1" applyNumberFormat="1" applyFont="1" applyFill="1" applyBorder="1" applyAlignment="1">
      <alignment horizontal="center" vertical="center"/>
    </xf>
    <xf numFmtId="177" fontId="11" fillId="2" borderId="14" xfId="2" applyNumberFormat="1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9" fillId="2" borderId="7" xfId="2" applyFont="1" applyFill="1" applyBorder="1" applyAlignment="1">
      <alignment horizontal="left" vertical="center"/>
    </xf>
    <xf numFmtId="0" fontId="9" fillId="2" borderId="8" xfId="2" applyFont="1" applyFill="1" applyBorder="1" applyAlignment="1">
      <alignment horizontal="left" vertical="center"/>
    </xf>
    <xf numFmtId="0" fontId="11" fillId="2" borderId="12" xfId="2" applyFont="1" applyFill="1" applyBorder="1" applyAlignment="1">
      <alignment horizontal="center" vertical="center"/>
    </xf>
    <xf numFmtId="176" fontId="11" fillId="2" borderId="13" xfId="2" applyNumberFormat="1" applyFont="1" applyFill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182" fontId="45" fillId="0" borderId="27" xfId="0" applyNumberFormat="1" applyFont="1" applyBorder="1" applyAlignment="1">
      <alignment horizontal="center" vertical="center"/>
    </xf>
    <xf numFmtId="182" fontId="45" fillId="0" borderId="26" xfId="0" applyNumberFormat="1" applyFont="1" applyBorder="1" applyAlignment="1">
      <alignment horizontal="center" vertical="center"/>
    </xf>
    <xf numFmtId="182" fontId="44" fillId="0" borderId="28" xfId="0" applyNumberFormat="1" applyFont="1" applyBorder="1" applyAlignment="1">
      <alignment horizontal="center" vertical="center"/>
    </xf>
    <xf numFmtId="182" fontId="44" fillId="0" borderId="41" xfId="0" applyNumberFormat="1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182" fontId="44" fillId="0" borderId="36" xfId="0" applyNumberFormat="1" applyFont="1" applyBorder="1" applyAlignment="1">
      <alignment horizontal="center" vertical="center"/>
    </xf>
    <xf numFmtId="182" fontId="44" fillId="0" borderId="35" xfId="0" applyNumberFormat="1" applyFont="1" applyBorder="1" applyAlignment="1">
      <alignment horizontal="center" vertical="center"/>
    </xf>
    <xf numFmtId="182" fontId="44" fillId="0" borderId="21" xfId="0" applyNumberFormat="1" applyFont="1" applyBorder="1" applyAlignment="1">
      <alignment horizontal="center" vertical="center"/>
    </xf>
    <xf numFmtId="182" fontId="44" fillId="0" borderId="37" xfId="0" applyNumberFormat="1" applyFont="1" applyBorder="1" applyAlignment="1">
      <alignment horizontal="center" vertical="center"/>
    </xf>
    <xf numFmtId="182" fontId="44" fillId="0" borderId="18" xfId="0" applyNumberFormat="1" applyFont="1" applyBorder="1" applyAlignment="1">
      <alignment horizontal="center" vertical="center"/>
    </xf>
    <xf numFmtId="182" fontId="44" fillId="0" borderId="19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82" fontId="44" fillId="0" borderId="22" xfId="0" applyNumberFormat="1" applyFont="1" applyBorder="1" applyAlignment="1">
      <alignment horizontal="center" vertical="center"/>
    </xf>
    <xf numFmtId="182" fontId="44" fillId="0" borderId="25" xfId="0" applyNumberFormat="1" applyFont="1" applyBorder="1" applyAlignment="1">
      <alignment horizontal="center" vertical="center"/>
    </xf>
    <xf numFmtId="0" fontId="43" fillId="6" borderId="29" xfId="0" applyFont="1" applyFill="1" applyBorder="1" applyAlignment="1">
      <alignment horizontal="center" vertical="center"/>
    </xf>
    <xf numFmtId="0" fontId="43" fillId="6" borderId="30" xfId="0" applyFont="1" applyFill="1" applyBorder="1" applyAlignment="1">
      <alignment horizontal="center" vertical="center"/>
    </xf>
    <xf numFmtId="0" fontId="43" fillId="6" borderId="31" xfId="0" applyFont="1" applyFill="1" applyBorder="1" applyAlignment="1">
      <alignment horizontal="center" vertical="center"/>
    </xf>
    <xf numFmtId="0" fontId="43" fillId="6" borderId="32" xfId="0" applyFont="1" applyFill="1" applyBorder="1" applyAlignment="1">
      <alignment horizontal="center" vertical="center"/>
    </xf>
    <xf numFmtId="0" fontId="43" fillId="6" borderId="33" xfId="0" applyFont="1" applyFill="1" applyBorder="1" applyAlignment="1">
      <alignment horizontal="center" vertical="center"/>
    </xf>
  </cellXfs>
  <cellStyles count="12">
    <cellStyle name="Comma [0] 2 2" xfId="4"/>
    <cellStyle name="Comma [0] 2 2 2" xfId="10"/>
    <cellStyle name="백분율 2" xfId="8"/>
    <cellStyle name="표준" xfId="0" builtinId="0"/>
    <cellStyle name="표준 10 4" xfId="1"/>
    <cellStyle name="표준 2" xfId="5"/>
    <cellStyle name="표준 2 2" xfId="7"/>
    <cellStyle name="표준 3" xfId="9"/>
    <cellStyle name="표준 4" xfId="11"/>
    <cellStyle name="표준_일산백 QC-eval" xfId="6"/>
    <cellStyle name="표준_정성 comparison" xfId="3"/>
    <cellStyle name="표준_한대구리-BNP" xfId="2"/>
  </cellStyles>
  <dxfs count="41">
    <dxf>
      <font>
        <color theme="9" tint="-0.24994659260841701"/>
      </font>
    </dxf>
    <dxf>
      <font>
        <color theme="9" tint="-0.24994659260841701"/>
      </font>
    </dxf>
    <dxf>
      <fill>
        <patternFill>
          <bgColor theme="0" tint="-0.14996795556505021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theme="0" tint="-0.14996795556505021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fgColor rgb="FFE5EEFF"/>
          <bgColor rgb="FFE5EEFF"/>
        </patternFill>
      </fill>
    </dxf>
    <dxf>
      <fill>
        <patternFill>
          <bgColor rgb="FFFFFF99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theme="0" tint="-0.14996795556505021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ont>
        <color theme="9" tint="-0.24994659260841701"/>
      </font>
    </dxf>
    <dxf>
      <font>
        <color theme="9" tint="-0.24994659260841701"/>
      </font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fgColor rgb="FFE5EEFF"/>
          <bgColor rgb="FFE5EEFF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567957130358705"/>
                  <c:y val="-0.21345764071157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상관성!$J$15:$J$54</c:f>
            </c:numRef>
          </c:xVal>
          <c:yVal>
            <c:numRef>
              <c:f>상관성!$K$15:$K$54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450816"/>
        <c:axId val="251448464"/>
      </c:scatterChart>
      <c:valAx>
        <c:axId val="25145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1448464"/>
        <c:crosses val="autoZero"/>
        <c:crossBetween val="midCat"/>
      </c:valAx>
      <c:valAx>
        <c:axId val="2514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145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Ach-r-binding Ab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290179352580927"/>
                  <c:y val="-2.34951881014873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'상관성 (2)'!$J$15:$J$54</c:f>
              <c:numCache>
                <c:formatCode>0.00</c:formatCode>
                <c:ptCount val="40"/>
                <c:pt idx="0">
                  <c:v>7.55</c:v>
                </c:pt>
                <c:pt idx="1">
                  <c:v>6.26</c:v>
                </c:pt>
                <c:pt idx="2">
                  <c:v>6.68</c:v>
                </c:pt>
                <c:pt idx="3">
                  <c:v>4.03</c:v>
                </c:pt>
                <c:pt idx="4">
                  <c:v>6.75</c:v>
                </c:pt>
                <c:pt idx="5">
                  <c:v>6.99</c:v>
                </c:pt>
                <c:pt idx="6">
                  <c:v>10.54</c:v>
                </c:pt>
                <c:pt idx="7">
                  <c:v>2.0499999999999998</c:v>
                </c:pt>
                <c:pt idx="8">
                  <c:v>2.5499999999999998</c:v>
                </c:pt>
                <c:pt idx="9">
                  <c:v>10.25</c:v>
                </c:pt>
                <c:pt idx="10">
                  <c:v>9.67</c:v>
                </c:pt>
                <c:pt idx="11">
                  <c:v>0.56999999999999995</c:v>
                </c:pt>
                <c:pt idx="12">
                  <c:v>0.72</c:v>
                </c:pt>
                <c:pt idx="13">
                  <c:v>7.4</c:v>
                </c:pt>
                <c:pt idx="14">
                  <c:v>10.9</c:v>
                </c:pt>
                <c:pt idx="15">
                  <c:v>8.9700000000000006</c:v>
                </c:pt>
                <c:pt idx="16">
                  <c:v>5</c:v>
                </c:pt>
                <c:pt idx="17">
                  <c:v>7.01</c:v>
                </c:pt>
                <c:pt idx="18">
                  <c:v>2.2599999999999998</c:v>
                </c:pt>
                <c:pt idx="19">
                  <c:v>2.21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</c:numCache>
            </c:numRef>
          </c:xVal>
          <c:yVal>
            <c:numRef>
              <c:f>'상관성 (2)'!$K$15:$K$54</c:f>
              <c:numCache>
                <c:formatCode>0.00</c:formatCode>
                <c:ptCount val="40"/>
                <c:pt idx="0">
                  <c:v>8.1999999999999993</c:v>
                </c:pt>
                <c:pt idx="1">
                  <c:v>4.88</c:v>
                </c:pt>
                <c:pt idx="2">
                  <c:v>6.37</c:v>
                </c:pt>
                <c:pt idx="3">
                  <c:v>2.96</c:v>
                </c:pt>
                <c:pt idx="4">
                  <c:v>8.1</c:v>
                </c:pt>
                <c:pt idx="5">
                  <c:v>8.5</c:v>
                </c:pt>
                <c:pt idx="6">
                  <c:v>12.3</c:v>
                </c:pt>
                <c:pt idx="7">
                  <c:v>1.53</c:v>
                </c:pt>
                <c:pt idx="8">
                  <c:v>1.1000000000000001</c:v>
                </c:pt>
                <c:pt idx="9">
                  <c:v>12.5</c:v>
                </c:pt>
                <c:pt idx="10">
                  <c:v>11.5</c:v>
                </c:pt>
                <c:pt idx="11">
                  <c:v>0.19</c:v>
                </c:pt>
                <c:pt idx="12">
                  <c:v>7.0000000000000007E-2</c:v>
                </c:pt>
                <c:pt idx="13">
                  <c:v>6.32</c:v>
                </c:pt>
                <c:pt idx="14">
                  <c:v>13.7</c:v>
                </c:pt>
                <c:pt idx="15">
                  <c:v>9.1</c:v>
                </c:pt>
                <c:pt idx="16">
                  <c:v>2.64</c:v>
                </c:pt>
                <c:pt idx="17">
                  <c:v>8.6</c:v>
                </c:pt>
                <c:pt idx="18">
                  <c:v>0.75</c:v>
                </c:pt>
                <c:pt idx="19">
                  <c:v>0.41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7.0000000000000007E-2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448072"/>
        <c:axId val="251449248"/>
      </c:scatterChart>
      <c:valAx>
        <c:axId val="25144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1449248"/>
        <c:crosses val="autoZero"/>
        <c:crossBetween val="midCat"/>
      </c:valAx>
      <c:valAx>
        <c:axId val="2514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1448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347662</xdr:colOff>
      <xdr:row>17</xdr:row>
      <xdr:rowOff>152400</xdr:rowOff>
    </xdr:from>
    <xdr:to>
      <xdr:col>18</xdr:col>
      <xdr:colOff>119062</xdr:colOff>
      <xdr:row>30</xdr:row>
      <xdr:rowOff>171450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61</xdr:row>
      <xdr:rowOff>47625</xdr:rowOff>
    </xdr:from>
    <xdr:to>
      <xdr:col>7</xdr:col>
      <xdr:colOff>323850</xdr:colOff>
      <xdr:row>69</xdr:row>
      <xdr:rowOff>161925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workbookViewId="0">
      <selection activeCell="K10" sqref="K10"/>
    </sheetView>
  </sheetViews>
  <sheetFormatPr defaultRowHeight="12.75"/>
  <cols>
    <col min="1" max="1" width="4" style="74" customWidth="1"/>
    <col min="2" max="2" width="12.375" style="74" customWidth="1"/>
    <col min="3" max="6" width="14.375" style="74" customWidth="1"/>
    <col min="7" max="7" width="6.25" style="74" bestFit="1" customWidth="1"/>
    <col min="8" max="8" width="14.625" style="74" customWidth="1"/>
    <col min="9" max="16384" width="9" style="74"/>
  </cols>
  <sheetData>
    <row r="1" spans="2:7" ht="43.5" customHeight="1">
      <c r="B1" s="121" t="s">
        <v>34</v>
      </c>
      <c r="C1" s="121"/>
      <c r="D1" s="121"/>
      <c r="E1" s="121"/>
      <c r="F1" s="121"/>
      <c r="G1" s="121"/>
    </row>
    <row r="2" spans="2:7" ht="32.25" customHeight="1">
      <c r="B2" s="75" t="s">
        <v>35</v>
      </c>
      <c r="C2" s="76"/>
      <c r="D2" s="76"/>
      <c r="E2" s="76"/>
      <c r="F2" s="77"/>
      <c r="G2" s="77"/>
    </row>
    <row r="3" spans="2:7" ht="32.25" customHeight="1">
      <c r="B3" s="122" t="s">
        <v>36</v>
      </c>
      <c r="C3" s="122" t="s">
        <v>37</v>
      </c>
      <c r="D3" s="122" t="s">
        <v>38</v>
      </c>
      <c r="E3" s="122" t="s">
        <v>39</v>
      </c>
      <c r="F3" s="122" t="s">
        <v>40</v>
      </c>
      <c r="G3" s="122" t="s">
        <v>41</v>
      </c>
    </row>
    <row r="4" spans="2:7" ht="15.75" customHeight="1">
      <c r="B4" s="122"/>
      <c r="C4" s="122"/>
      <c r="D4" s="122"/>
      <c r="E4" s="122"/>
      <c r="F4" s="122"/>
      <c r="G4" s="122"/>
    </row>
    <row r="5" spans="2:7" ht="24.95" customHeight="1">
      <c r="B5" s="78">
        <v>1</v>
      </c>
      <c r="C5" s="79">
        <v>6.67</v>
      </c>
      <c r="D5" s="79">
        <v>6.8</v>
      </c>
      <c r="E5" s="80">
        <f t="shared" ref="E5:E6" si="0">AVERAGE(C5:D5)</f>
        <v>6.7349999999999994</v>
      </c>
      <c r="F5" s="80">
        <f t="shared" ref="F5:F9" si="1">STDEV(C5:D5)</f>
        <v>9.1923881554251102E-2</v>
      </c>
      <c r="G5" s="117">
        <f t="shared" ref="G5:G6" si="2">F5/E5*100</f>
        <v>1.3648683230029859</v>
      </c>
    </row>
    <row r="6" spans="2:7" ht="24.95" customHeight="1">
      <c r="B6" s="78">
        <v>2</v>
      </c>
      <c r="C6" s="79">
        <v>2.59</v>
      </c>
      <c r="D6" s="79">
        <v>2.57</v>
      </c>
      <c r="E6" s="80">
        <f t="shared" si="0"/>
        <v>2.58</v>
      </c>
      <c r="F6" s="80">
        <f t="shared" si="1"/>
        <v>1.4142135623730963E-2</v>
      </c>
      <c r="G6" s="117">
        <f t="shared" si="2"/>
        <v>0.5481447916174792</v>
      </c>
    </row>
    <row r="7" spans="2:7" ht="24.95" customHeight="1">
      <c r="B7" s="78">
        <v>3</v>
      </c>
      <c r="C7" s="79">
        <v>1.34</v>
      </c>
      <c r="D7" s="79">
        <v>1.32</v>
      </c>
      <c r="E7" s="80">
        <f>AVERAGE(C7:D7)</f>
        <v>1.33</v>
      </c>
      <c r="F7" s="80">
        <f t="shared" si="1"/>
        <v>1.4142135623730963E-2</v>
      </c>
      <c r="G7" s="117">
        <f>F7/E7*100</f>
        <v>1.0633184679496965</v>
      </c>
    </row>
    <row r="8" spans="2:7" ht="24.95" customHeight="1">
      <c r="B8" s="78">
        <v>4</v>
      </c>
      <c r="C8" s="79">
        <v>2.91</v>
      </c>
      <c r="D8" s="79">
        <v>2.88</v>
      </c>
      <c r="E8" s="80">
        <f>AVERAGE(C8:D8)</f>
        <v>2.895</v>
      </c>
      <c r="F8" s="80">
        <f t="shared" si="1"/>
        <v>2.12132034355966E-2</v>
      </c>
      <c r="G8" s="117">
        <f>F8/E8*100</f>
        <v>0.73275314112596202</v>
      </c>
    </row>
    <row r="9" spans="2:7" ht="24.95" customHeight="1">
      <c r="B9" s="78">
        <v>5</v>
      </c>
      <c r="C9" s="79">
        <v>0.78</v>
      </c>
      <c r="D9" s="79">
        <v>0.79</v>
      </c>
      <c r="E9" s="80">
        <f>AVERAGE(C9:D9)</f>
        <v>0.78500000000000003</v>
      </c>
      <c r="F9" s="80">
        <f t="shared" si="1"/>
        <v>7.0710678118654814E-3</v>
      </c>
      <c r="G9" s="117">
        <f>F9/E9*100</f>
        <v>0.90077296966439258</v>
      </c>
    </row>
    <row r="10" spans="2:7" ht="24.95" customHeight="1">
      <c r="B10" s="81"/>
      <c r="C10" s="81"/>
      <c r="D10" s="81"/>
      <c r="E10" s="81"/>
      <c r="F10" s="82" t="s">
        <v>42</v>
      </c>
      <c r="G10" s="83">
        <f>AVERAGE(G4:G9)</f>
        <v>0.92197153867210313</v>
      </c>
    </row>
    <row r="11" spans="2:7" ht="20.100000000000001" customHeight="1">
      <c r="G11" s="84"/>
    </row>
    <row r="12" spans="2:7" ht="30.75" customHeight="1">
      <c r="B12" s="75" t="s">
        <v>43</v>
      </c>
      <c r="C12" s="75"/>
      <c r="D12" s="75"/>
      <c r="G12" s="84"/>
    </row>
    <row r="13" spans="2:7" ht="29.25" customHeight="1">
      <c r="B13" s="123" t="s">
        <v>44</v>
      </c>
      <c r="C13" s="123" t="s">
        <v>45</v>
      </c>
      <c r="D13" s="124" t="s">
        <v>46</v>
      </c>
      <c r="E13" s="123" t="s">
        <v>39</v>
      </c>
      <c r="F13" s="123" t="s">
        <v>40</v>
      </c>
      <c r="G13" s="119" t="s">
        <v>47</v>
      </c>
    </row>
    <row r="14" spans="2:7" ht="20.100000000000001" customHeight="1">
      <c r="B14" s="123"/>
      <c r="C14" s="123"/>
      <c r="D14" s="123"/>
      <c r="E14" s="123"/>
      <c r="F14" s="123"/>
      <c r="G14" s="120"/>
    </row>
    <row r="15" spans="2:7" ht="24.95" customHeight="1">
      <c r="B15" s="78">
        <v>1</v>
      </c>
      <c r="C15" s="79">
        <v>6.37</v>
      </c>
      <c r="D15" s="79">
        <v>6.74</v>
      </c>
      <c r="E15" s="80">
        <f t="shared" ref="E15:E16" si="3">AVERAGE(C15:D15)</f>
        <v>6.5549999999999997</v>
      </c>
      <c r="F15" s="80">
        <f t="shared" ref="F15:F16" si="4">STDEV(C15:D15)</f>
        <v>0.26162950903902266</v>
      </c>
      <c r="G15" s="118">
        <f t="shared" ref="G15:G16" si="5">F15/E15*100</f>
        <v>3.9912968579561046</v>
      </c>
    </row>
    <row r="16" spans="2:7" ht="24.95" customHeight="1">
      <c r="B16" s="78">
        <v>2</v>
      </c>
      <c r="C16" s="79">
        <v>2.96</v>
      </c>
      <c r="D16" s="79">
        <v>2.58</v>
      </c>
      <c r="E16" s="80">
        <f t="shared" si="3"/>
        <v>2.77</v>
      </c>
      <c r="F16" s="80">
        <f t="shared" si="4"/>
        <v>0.268700576850888</v>
      </c>
      <c r="G16" s="118">
        <f t="shared" si="5"/>
        <v>9.7003818357721308</v>
      </c>
    </row>
    <row r="17" spans="2:7" ht="24.95" customHeight="1">
      <c r="B17" s="78">
        <v>3</v>
      </c>
      <c r="C17" s="79">
        <v>1.53</v>
      </c>
      <c r="D17" s="79">
        <v>1.33</v>
      </c>
      <c r="E17" s="80">
        <f>AVERAGE(C17:D17)</f>
        <v>1.4300000000000002</v>
      </c>
      <c r="F17" s="80">
        <f>STDEV(C17:D17)</f>
        <v>0.14142135623730948</v>
      </c>
      <c r="G17" s="118">
        <f>F17/E17*100</f>
        <v>9.8896053312803822</v>
      </c>
    </row>
    <row r="18" spans="2:7" ht="24.95" customHeight="1">
      <c r="B18" s="78">
        <v>4</v>
      </c>
      <c r="C18" s="79">
        <v>2.64</v>
      </c>
      <c r="D18" s="79">
        <v>2.9</v>
      </c>
      <c r="E18" s="80">
        <f>AVERAGE(C18:D18)</f>
        <v>2.77</v>
      </c>
      <c r="F18" s="80">
        <f>STDEV(C18:D18)</f>
        <v>0.1838477631085022</v>
      </c>
      <c r="G18" s="118">
        <f>F18/E18*100</f>
        <v>6.6371033613177683</v>
      </c>
    </row>
    <row r="19" spans="2:7" ht="24.95" customHeight="1">
      <c r="B19" s="78">
        <v>5</v>
      </c>
      <c r="C19" s="79">
        <v>0.75</v>
      </c>
      <c r="D19" s="79">
        <v>0.79</v>
      </c>
      <c r="E19" s="80">
        <f>AVERAGE(C19:D19)</f>
        <v>0.77</v>
      </c>
      <c r="F19" s="80">
        <f>STDEV(C19:D19)</f>
        <v>2.8284271247461926E-2</v>
      </c>
      <c r="G19" s="118">
        <f>F19/E19*100</f>
        <v>3.6732819801898602</v>
      </c>
    </row>
    <row r="20" spans="2:7" ht="24.95" customHeight="1">
      <c r="B20" s="81"/>
      <c r="C20" s="81"/>
      <c r="D20" s="81"/>
      <c r="E20" s="81"/>
      <c r="F20" s="82" t="s">
        <v>48</v>
      </c>
      <c r="G20" s="83">
        <f>AVERAGE(G14:G19)</f>
        <v>6.7783338733032492</v>
      </c>
    </row>
    <row r="21" spans="2:7" ht="20.100000000000001" customHeight="1">
      <c r="B21" s="77"/>
      <c r="C21" s="77"/>
      <c r="D21" s="77"/>
      <c r="E21" s="77"/>
      <c r="F21" s="77"/>
      <c r="G21" s="77"/>
    </row>
    <row r="22" spans="2:7" ht="20.100000000000001" customHeight="1"/>
    <row r="23" spans="2:7" ht="20.100000000000001" customHeight="1"/>
    <row r="24" spans="2:7" ht="20.100000000000001" customHeight="1"/>
    <row r="25" spans="2:7" ht="20.100000000000001" customHeight="1"/>
    <row r="26" spans="2:7" ht="20.100000000000001" customHeight="1"/>
  </sheetData>
  <mergeCells count="13">
    <mergeCell ref="G13:G14"/>
    <mergeCell ref="B1:G1"/>
    <mergeCell ref="B3:B4"/>
    <mergeCell ref="C3:C4"/>
    <mergeCell ref="D3:D4"/>
    <mergeCell ref="E3:E4"/>
    <mergeCell ref="F3:F4"/>
    <mergeCell ref="G3:G4"/>
    <mergeCell ref="B13:B14"/>
    <mergeCell ref="C13:C14"/>
    <mergeCell ref="D13:D14"/>
    <mergeCell ref="E13:E14"/>
    <mergeCell ref="F13:F14"/>
  </mergeCells>
  <phoneticPr fontId="3" type="noConversion"/>
  <pageMargins left="0.25" right="0.7" top="0.38" bottom="0.75" header="0.2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selection activeCell="W21" sqref="W21"/>
    </sheetView>
  </sheetViews>
  <sheetFormatPr defaultRowHeight="16.5"/>
  <cols>
    <col min="10" max="21" width="0" hidden="1" customWidth="1"/>
  </cols>
  <sheetData>
    <row r="1" spans="1:13" ht="32.25" thickBot="1">
      <c r="A1" s="125" t="s">
        <v>61</v>
      </c>
      <c r="B1" s="126"/>
      <c r="C1" s="126"/>
      <c r="D1" s="126"/>
      <c r="E1" s="126"/>
      <c r="F1" s="126"/>
      <c r="G1" s="126"/>
      <c r="H1" s="127"/>
    </row>
    <row r="2" spans="1:13" ht="17.25" thickTop="1">
      <c r="A2" s="51"/>
      <c r="B2" s="52"/>
      <c r="C2" s="1"/>
      <c r="D2" s="1"/>
      <c r="E2" s="1"/>
      <c r="F2" s="52"/>
      <c r="G2" s="52"/>
      <c r="H2" s="53"/>
    </row>
    <row r="3" spans="1:13">
      <c r="A3" s="54" t="s">
        <v>0</v>
      </c>
      <c r="B3" s="55"/>
      <c r="C3" s="137" t="s">
        <v>18</v>
      </c>
      <c r="D3" s="137"/>
      <c r="E3" s="137"/>
      <c r="F3" s="56"/>
      <c r="G3" s="56"/>
      <c r="H3" s="57"/>
    </row>
    <row r="4" spans="1:13">
      <c r="A4" s="54" t="s">
        <v>1</v>
      </c>
      <c r="B4" s="55"/>
      <c r="C4" s="138" t="s">
        <v>17</v>
      </c>
      <c r="D4" s="138"/>
      <c r="E4" s="138"/>
      <c r="F4" s="56"/>
      <c r="G4" s="56"/>
      <c r="H4" s="57"/>
    </row>
    <row r="5" spans="1:13" ht="17.25" thickBot="1">
      <c r="A5" s="58"/>
      <c r="B5" s="2"/>
      <c r="C5" s="2"/>
      <c r="D5" s="3"/>
      <c r="E5" s="4"/>
      <c r="F5" s="5"/>
      <c r="G5" s="5"/>
      <c r="H5" s="59"/>
    </row>
    <row r="6" spans="1:13" ht="17.25" thickTop="1">
      <c r="A6" s="60"/>
      <c r="B6" s="61"/>
      <c r="C6" s="61"/>
      <c r="D6" s="62"/>
      <c r="E6" s="63"/>
      <c r="F6" s="64"/>
      <c r="G6" s="64"/>
      <c r="H6" s="65"/>
    </row>
    <row r="7" spans="1:13">
      <c r="A7" s="66"/>
      <c r="B7" s="52"/>
      <c r="C7" s="139" t="s">
        <v>19</v>
      </c>
      <c r="D7" s="139"/>
      <c r="E7" s="139" t="s">
        <v>20</v>
      </c>
      <c r="F7" s="139"/>
      <c r="G7" s="67"/>
      <c r="H7" s="65"/>
    </row>
    <row r="8" spans="1:13">
      <c r="A8" s="68" t="s">
        <v>2</v>
      </c>
      <c r="B8" s="69"/>
      <c r="C8" s="140" t="s">
        <v>24</v>
      </c>
      <c r="D8" s="140"/>
      <c r="E8" s="140" t="s">
        <v>21</v>
      </c>
      <c r="F8" s="140"/>
      <c r="G8" s="70"/>
      <c r="H8" s="65"/>
    </row>
    <row r="9" spans="1:13">
      <c r="A9" s="68" t="s">
        <v>3</v>
      </c>
      <c r="B9" s="69"/>
      <c r="C9" s="133" t="s">
        <v>32</v>
      </c>
      <c r="D9" s="133"/>
      <c r="E9" s="133" t="s">
        <v>22</v>
      </c>
      <c r="F9" s="133"/>
      <c r="G9" s="70"/>
      <c r="H9" s="65"/>
    </row>
    <row r="10" spans="1:13">
      <c r="A10" s="68" t="s">
        <v>4</v>
      </c>
      <c r="B10" s="69"/>
      <c r="C10" s="134" t="s">
        <v>33</v>
      </c>
      <c r="D10" s="134"/>
      <c r="E10" s="134" t="s">
        <v>23</v>
      </c>
      <c r="F10" s="134"/>
      <c r="G10" s="71"/>
      <c r="H10" s="65"/>
    </row>
    <row r="11" spans="1:13">
      <c r="A11" s="72"/>
      <c r="B11" s="6"/>
      <c r="C11" s="7"/>
      <c r="D11" s="7"/>
      <c r="E11" s="7"/>
      <c r="F11" s="8"/>
      <c r="G11" s="8"/>
      <c r="H11" s="73"/>
    </row>
    <row r="12" spans="1:13">
      <c r="A12" s="10"/>
      <c r="B12" s="11"/>
      <c r="C12" s="12"/>
      <c r="D12" s="12"/>
      <c r="E12" s="12"/>
      <c r="F12" s="13"/>
      <c r="G12" s="14"/>
      <c r="H12" s="14"/>
    </row>
    <row r="13" spans="1:13">
      <c r="A13" s="16"/>
      <c r="B13" s="17" t="s">
        <v>5</v>
      </c>
      <c r="C13" s="135" t="s">
        <v>19</v>
      </c>
      <c r="D13" s="136"/>
      <c r="E13" s="135" t="s">
        <v>20</v>
      </c>
      <c r="F13" s="136"/>
      <c r="G13" s="128" t="s">
        <v>6</v>
      </c>
      <c r="H13" s="18"/>
    </row>
    <row r="14" spans="1:13">
      <c r="A14" s="16"/>
      <c r="B14" s="19" t="s">
        <v>7</v>
      </c>
      <c r="C14" s="20" t="s">
        <v>8</v>
      </c>
      <c r="D14" s="20" t="s">
        <v>9</v>
      </c>
      <c r="E14" s="20" t="s">
        <v>8</v>
      </c>
      <c r="F14" s="20" t="s">
        <v>9</v>
      </c>
      <c r="G14" s="129"/>
      <c r="H14" s="21"/>
    </row>
    <row r="15" spans="1:13">
      <c r="A15" s="23"/>
      <c r="B15" s="24">
        <v>1</v>
      </c>
      <c r="C15" s="46">
        <v>7.55</v>
      </c>
      <c r="D15" s="25" t="s">
        <v>29</v>
      </c>
      <c r="E15" s="25" t="s">
        <v>27</v>
      </c>
      <c r="F15" s="25" t="s">
        <v>29</v>
      </c>
      <c r="G15" s="25" t="s">
        <v>30</v>
      </c>
      <c r="H15" s="26"/>
      <c r="J15" s="46">
        <v>7.55</v>
      </c>
      <c r="K15" s="25">
        <v>8.1999999999999993</v>
      </c>
      <c r="M15">
        <f>CORREL(J15:J54,K15:K54)</f>
        <v>0.97604979211582032</v>
      </c>
    </row>
    <row r="16" spans="1:13">
      <c r="A16" s="23"/>
      <c r="B16" s="24">
        <v>2</v>
      </c>
      <c r="C16" s="46">
        <v>6.26</v>
      </c>
      <c r="D16" s="25" t="s">
        <v>29</v>
      </c>
      <c r="E16" s="25">
        <v>4.88</v>
      </c>
      <c r="F16" s="25" t="s">
        <v>29</v>
      </c>
      <c r="G16" s="25" t="s">
        <v>30</v>
      </c>
      <c r="H16" s="26"/>
      <c r="J16" s="46">
        <v>6.26</v>
      </c>
      <c r="K16" s="25">
        <v>4.88</v>
      </c>
    </row>
    <row r="17" spans="1:11">
      <c r="A17" s="23"/>
      <c r="B17" s="24">
        <v>3</v>
      </c>
      <c r="C17" s="46">
        <v>6.68</v>
      </c>
      <c r="D17" s="25" t="s">
        <v>29</v>
      </c>
      <c r="E17" s="25">
        <v>6.37</v>
      </c>
      <c r="F17" s="25" t="s">
        <v>29</v>
      </c>
      <c r="G17" s="25" t="s">
        <v>30</v>
      </c>
      <c r="H17" s="26"/>
      <c r="J17" s="46">
        <v>6.68</v>
      </c>
      <c r="K17" s="25">
        <v>6.37</v>
      </c>
    </row>
    <row r="18" spans="1:11">
      <c r="A18" s="23"/>
      <c r="B18" s="24">
        <v>4</v>
      </c>
      <c r="C18" s="46">
        <v>4.03</v>
      </c>
      <c r="D18" s="25" t="s">
        <v>29</v>
      </c>
      <c r="E18" s="25">
        <v>2.96</v>
      </c>
      <c r="F18" s="25" t="s">
        <v>29</v>
      </c>
      <c r="G18" s="25" t="s">
        <v>30</v>
      </c>
      <c r="H18" s="26"/>
      <c r="J18" s="46">
        <v>4.03</v>
      </c>
      <c r="K18" s="25">
        <v>2.96</v>
      </c>
    </row>
    <row r="19" spans="1:11">
      <c r="A19" s="23"/>
      <c r="B19" s="24">
        <v>5</v>
      </c>
      <c r="C19" s="46">
        <v>6.75</v>
      </c>
      <c r="D19" s="25" t="s">
        <v>29</v>
      </c>
      <c r="E19" s="25" t="s">
        <v>27</v>
      </c>
      <c r="F19" s="25" t="s">
        <v>29</v>
      </c>
      <c r="G19" s="25" t="s">
        <v>30</v>
      </c>
      <c r="H19" s="26"/>
      <c r="J19" s="46">
        <v>6.75</v>
      </c>
      <c r="K19" s="25">
        <v>8.1</v>
      </c>
    </row>
    <row r="20" spans="1:11">
      <c r="A20" s="23"/>
      <c r="B20" s="24">
        <v>6</v>
      </c>
      <c r="C20" s="46">
        <v>6.99</v>
      </c>
      <c r="D20" s="25" t="s">
        <v>29</v>
      </c>
      <c r="E20" s="25" t="s">
        <v>27</v>
      </c>
      <c r="F20" s="25" t="s">
        <v>29</v>
      </c>
      <c r="G20" s="25" t="s">
        <v>30</v>
      </c>
      <c r="H20" s="26"/>
      <c r="J20" s="46">
        <v>6.99</v>
      </c>
      <c r="K20" s="25">
        <v>8.5</v>
      </c>
    </row>
    <row r="21" spans="1:11">
      <c r="A21" s="27"/>
      <c r="B21" s="24">
        <v>7</v>
      </c>
      <c r="C21" s="46">
        <v>10.54</v>
      </c>
      <c r="D21" s="25" t="s">
        <v>29</v>
      </c>
      <c r="E21" s="25" t="s">
        <v>27</v>
      </c>
      <c r="F21" s="25" t="s">
        <v>29</v>
      </c>
      <c r="G21" s="25" t="s">
        <v>30</v>
      </c>
      <c r="H21" s="26"/>
      <c r="J21" s="46">
        <v>10.54</v>
      </c>
      <c r="K21" s="25">
        <v>12.3</v>
      </c>
    </row>
    <row r="22" spans="1:11">
      <c r="A22" s="28"/>
      <c r="B22" s="24">
        <v>8</v>
      </c>
      <c r="C22" s="46">
        <v>2.0499999999999998</v>
      </c>
      <c r="D22" s="25" t="s">
        <v>29</v>
      </c>
      <c r="E22" s="25">
        <v>1.53</v>
      </c>
      <c r="F22" s="25" t="s">
        <v>29</v>
      </c>
      <c r="G22" s="25" t="s">
        <v>30</v>
      </c>
      <c r="H22" s="26"/>
      <c r="J22" s="46">
        <v>2.0499999999999998</v>
      </c>
      <c r="K22" s="25">
        <v>1.53</v>
      </c>
    </row>
    <row r="23" spans="1:11">
      <c r="A23" s="28"/>
      <c r="B23" s="24">
        <v>9</v>
      </c>
      <c r="C23" s="46">
        <v>2.5499999999999998</v>
      </c>
      <c r="D23" s="25" t="s">
        <v>29</v>
      </c>
      <c r="E23" s="25">
        <v>1.1000000000000001</v>
      </c>
      <c r="F23" s="25" t="s">
        <v>29</v>
      </c>
      <c r="G23" s="25" t="s">
        <v>30</v>
      </c>
      <c r="H23" s="26"/>
      <c r="J23" s="46">
        <v>2.5499999999999998</v>
      </c>
      <c r="K23" s="25">
        <v>1.1000000000000001</v>
      </c>
    </row>
    <row r="24" spans="1:11">
      <c r="A24" s="28"/>
      <c r="B24" s="24">
        <v>10</v>
      </c>
      <c r="C24" s="46">
        <v>10.25</v>
      </c>
      <c r="D24" s="25" t="s">
        <v>29</v>
      </c>
      <c r="E24" s="25" t="s">
        <v>27</v>
      </c>
      <c r="F24" s="25" t="s">
        <v>29</v>
      </c>
      <c r="G24" s="25" t="s">
        <v>30</v>
      </c>
      <c r="H24" s="26"/>
      <c r="J24" s="46">
        <v>10.25</v>
      </c>
      <c r="K24" s="25">
        <v>12.5</v>
      </c>
    </row>
    <row r="25" spans="1:11">
      <c r="A25" s="28"/>
      <c r="B25" s="24">
        <v>11</v>
      </c>
      <c r="C25" s="46">
        <v>9.67</v>
      </c>
      <c r="D25" s="25" t="s">
        <v>29</v>
      </c>
      <c r="E25" s="25" t="s">
        <v>27</v>
      </c>
      <c r="F25" s="25" t="s">
        <v>29</v>
      </c>
      <c r="G25" s="25" t="s">
        <v>30</v>
      </c>
      <c r="H25" s="26"/>
      <c r="J25" s="46">
        <v>9.67</v>
      </c>
      <c r="K25" s="25">
        <v>11.5</v>
      </c>
    </row>
    <row r="26" spans="1:11">
      <c r="A26" s="28"/>
      <c r="B26" s="47">
        <v>12</v>
      </c>
      <c r="C26" s="48">
        <v>0.56999999999999995</v>
      </c>
      <c r="D26" s="49" t="s">
        <v>29</v>
      </c>
      <c r="E26" s="49">
        <v>0.19</v>
      </c>
      <c r="F26" s="49" t="s">
        <v>28</v>
      </c>
      <c r="G26" s="49" t="s">
        <v>31</v>
      </c>
      <c r="H26" s="26"/>
      <c r="J26" s="48">
        <v>0.56999999999999995</v>
      </c>
      <c r="K26" s="49">
        <v>0.19</v>
      </c>
    </row>
    <row r="27" spans="1:11">
      <c r="A27" s="28"/>
      <c r="B27" s="47">
        <v>13</v>
      </c>
      <c r="C27" s="48">
        <v>0.72</v>
      </c>
      <c r="D27" s="49" t="s">
        <v>29</v>
      </c>
      <c r="E27" s="49" t="s">
        <v>26</v>
      </c>
      <c r="F27" s="49" t="s">
        <v>28</v>
      </c>
      <c r="G27" s="49" t="s">
        <v>31</v>
      </c>
      <c r="H27" s="26"/>
      <c r="J27" s="48">
        <v>0.72</v>
      </c>
      <c r="K27" s="49">
        <v>7.0000000000000007E-2</v>
      </c>
    </row>
    <row r="28" spans="1:11">
      <c r="A28" s="28"/>
      <c r="B28" s="24">
        <v>14</v>
      </c>
      <c r="C28" s="46">
        <v>7.4</v>
      </c>
      <c r="D28" s="25" t="s">
        <v>29</v>
      </c>
      <c r="E28" s="25">
        <v>6.32</v>
      </c>
      <c r="F28" s="25" t="s">
        <v>29</v>
      </c>
      <c r="G28" s="25" t="s">
        <v>30</v>
      </c>
      <c r="H28" s="29"/>
      <c r="J28" s="46">
        <v>7.4</v>
      </c>
      <c r="K28" s="25">
        <v>6.32</v>
      </c>
    </row>
    <row r="29" spans="1:11">
      <c r="A29" s="28"/>
      <c r="B29" s="24">
        <v>15</v>
      </c>
      <c r="C29" s="46">
        <v>10.9</v>
      </c>
      <c r="D29" s="25" t="s">
        <v>29</v>
      </c>
      <c r="E29" s="25" t="s">
        <v>27</v>
      </c>
      <c r="F29" s="25" t="s">
        <v>29</v>
      </c>
      <c r="G29" s="25" t="s">
        <v>30</v>
      </c>
      <c r="H29" s="29"/>
      <c r="J29" s="46">
        <v>10.9</v>
      </c>
      <c r="K29" s="25">
        <v>13.7</v>
      </c>
    </row>
    <row r="30" spans="1:11">
      <c r="A30" s="28"/>
      <c r="B30" s="24">
        <v>16</v>
      </c>
      <c r="C30" s="46">
        <v>8.9700000000000006</v>
      </c>
      <c r="D30" s="25" t="s">
        <v>29</v>
      </c>
      <c r="E30" s="25" t="s">
        <v>27</v>
      </c>
      <c r="F30" s="25" t="s">
        <v>29</v>
      </c>
      <c r="G30" s="25" t="s">
        <v>30</v>
      </c>
      <c r="H30" s="29"/>
      <c r="J30" s="46">
        <v>8.9700000000000006</v>
      </c>
      <c r="K30" s="25">
        <v>9.1</v>
      </c>
    </row>
    <row r="31" spans="1:11">
      <c r="A31" s="28"/>
      <c r="B31" s="24">
        <v>17</v>
      </c>
      <c r="C31" s="46">
        <v>5</v>
      </c>
      <c r="D31" s="25" t="s">
        <v>29</v>
      </c>
      <c r="E31" s="25">
        <v>2.64</v>
      </c>
      <c r="F31" s="25" t="s">
        <v>29</v>
      </c>
      <c r="G31" s="25" t="s">
        <v>30</v>
      </c>
      <c r="H31" s="29"/>
      <c r="J31" s="46">
        <v>5</v>
      </c>
      <c r="K31" s="25">
        <v>2.64</v>
      </c>
    </row>
    <row r="32" spans="1:11">
      <c r="A32" s="28"/>
      <c r="B32" s="24">
        <v>18</v>
      </c>
      <c r="C32" s="46">
        <v>7.01</v>
      </c>
      <c r="D32" s="25" t="s">
        <v>29</v>
      </c>
      <c r="E32" s="25" t="s">
        <v>27</v>
      </c>
      <c r="F32" s="25" t="s">
        <v>29</v>
      </c>
      <c r="G32" s="25" t="s">
        <v>30</v>
      </c>
      <c r="H32" s="29"/>
      <c r="J32" s="46">
        <v>7.01</v>
      </c>
      <c r="K32" s="25">
        <v>8.6</v>
      </c>
    </row>
    <row r="33" spans="1:11">
      <c r="A33" s="28"/>
      <c r="B33" s="24">
        <v>19</v>
      </c>
      <c r="C33" s="46">
        <v>2.2599999999999998</v>
      </c>
      <c r="D33" s="25" t="s">
        <v>29</v>
      </c>
      <c r="E33" s="25">
        <v>0.75</v>
      </c>
      <c r="F33" s="25" t="s">
        <v>29</v>
      </c>
      <c r="G33" s="25" t="s">
        <v>30</v>
      </c>
      <c r="H33" s="29"/>
      <c r="J33" s="46">
        <v>2.2599999999999998</v>
      </c>
      <c r="K33" s="25">
        <v>0.75</v>
      </c>
    </row>
    <row r="34" spans="1:11">
      <c r="A34" s="28"/>
      <c r="B34" s="24">
        <v>20</v>
      </c>
      <c r="C34" s="46">
        <v>2.21</v>
      </c>
      <c r="D34" s="25" t="s">
        <v>29</v>
      </c>
      <c r="E34" s="25">
        <v>0.41</v>
      </c>
      <c r="F34" s="25" t="s">
        <v>29</v>
      </c>
      <c r="G34" s="25" t="s">
        <v>30</v>
      </c>
      <c r="H34" s="29"/>
      <c r="J34" s="46">
        <v>2.21</v>
      </c>
      <c r="K34" s="25">
        <v>0.41</v>
      </c>
    </row>
    <row r="35" spans="1:11">
      <c r="A35" s="28"/>
      <c r="B35" s="24">
        <v>21</v>
      </c>
      <c r="C35" s="46">
        <v>0.03</v>
      </c>
      <c r="D35" s="25" t="s">
        <v>28</v>
      </c>
      <c r="E35" s="25" t="s">
        <v>26</v>
      </c>
      <c r="F35" s="25" t="s">
        <v>28</v>
      </c>
      <c r="G35" s="25" t="s">
        <v>30</v>
      </c>
      <c r="H35" s="29"/>
      <c r="J35" s="46">
        <v>0.03</v>
      </c>
      <c r="K35" s="49">
        <v>7.0000000000000007E-2</v>
      </c>
    </row>
    <row r="36" spans="1:11">
      <c r="A36" s="28"/>
      <c r="B36" s="24">
        <v>22</v>
      </c>
      <c r="C36" s="46">
        <v>0.02</v>
      </c>
      <c r="D36" s="25" t="s">
        <v>28</v>
      </c>
      <c r="E36" s="25" t="s">
        <v>26</v>
      </c>
      <c r="F36" s="25" t="s">
        <v>28</v>
      </c>
      <c r="G36" s="25" t="s">
        <v>30</v>
      </c>
      <c r="H36" s="29"/>
      <c r="J36" s="46">
        <v>0.02</v>
      </c>
      <c r="K36" s="49">
        <v>7.0000000000000007E-2</v>
      </c>
    </row>
    <row r="37" spans="1:11">
      <c r="A37" s="28"/>
      <c r="B37" s="24">
        <v>23</v>
      </c>
      <c r="C37" s="46">
        <v>0.02</v>
      </c>
      <c r="D37" s="25" t="s">
        <v>28</v>
      </c>
      <c r="E37" s="25" t="s">
        <v>26</v>
      </c>
      <c r="F37" s="25" t="s">
        <v>28</v>
      </c>
      <c r="G37" s="25" t="s">
        <v>30</v>
      </c>
      <c r="H37" s="29"/>
      <c r="J37" s="46">
        <v>0.02</v>
      </c>
      <c r="K37" s="49">
        <v>7.0000000000000007E-2</v>
      </c>
    </row>
    <row r="38" spans="1:11">
      <c r="A38" s="28"/>
      <c r="B38" s="24">
        <v>24</v>
      </c>
      <c r="C38" s="46" t="s">
        <v>25</v>
      </c>
      <c r="D38" s="25" t="s">
        <v>28</v>
      </c>
      <c r="E38" s="25" t="s">
        <v>26</v>
      </c>
      <c r="F38" s="25" t="s">
        <v>28</v>
      </c>
      <c r="G38" s="25" t="s">
        <v>30</v>
      </c>
      <c r="H38" s="29"/>
      <c r="J38" s="46">
        <v>0.02</v>
      </c>
      <c r="K38" s="49">
        <v>7.0000000000000007E-2</v>
      </c>
    </row>
    <row r="39" spans="1:11">
      <c r="A39" s="28"/>
      <c r="B39" s="24">
        <v>25</v>
      </c>
      <c r="C39" s="46" t="s">
        <v>25</v>
      </c>
      <c r="D39" s="25" t="s">
        <v>28</v>
      </c>
      <c r="E39" s="25" t="s">
        <v>26</v>
      </c>
      <c r="F39" s="25" t="s">
        <v>28</v>
      </c>
      <c r="G39" s="25" t="s">
        <v>30</v>
      </c>
      <c r="H39" s="29"/>
      <c r="J39" s="46">
        <v>0.02</v>
      </c>
      <c r="K39" s="49">
        <v>7.0000000000000007E-2</v>
      </c>
    </row>
    <row r="40" spans="1:11">
      <c r="A40" s="28"/>
      <c r="B40" s="24">
        <v>26</v>
      </c>
      <c r="C40" s="46" t="s">
        <v>25</v>
      </c>
      <c r="D40" s="25" t="s">
        <v>28</v>
      </c>
      <c r="E40" s="25" t="s">
        <v>26</v>
      </c>
      <c r="F40" s="25" t="s">
        <v>28</v>
      </c>
      <c r="G40" s="25" t="s">
        <v>30</v>
      </c>
      <c r="H40" s="29"/>
      <c r="J40" s="46">
        <v>0.02</v>
      </c>
      <c r="K40" s="49">
        <v>7.0000000000000007E-2</v>
      </c>
    </row>
    <row r="41" spans="1:11">
      <c r="A41" s="28"/>
      <c r="B41" s="24">
        <v>27</v>
      </c>
      <c r="C41" s="46" t="s">
        <v>25</v>
      </c>
      <c r="D41" s="25" t="s">
        <v>28</v>
      </c>
      <c r="E41" s="25" t="s">
        <v>26</v>
      </c>
      <c r="F41" s="25" t="s">
        <v>28</v>
      </c>
      <c r="G41" s="25" t="s">
        <v>30</v>
      </c>
      <c r="H41" s="29"/>
      <c r="J41" s="46">
        <v>0.02</v>
      </c>
      <c r="K41" s="49">
        <v>7.0000000000000007E-2</v>
      </c>
    </row>
    <row r="42" spans="1:11">
      <c r="A42" s="28"/>
      <c r="B42" s="24">
        <v>28</v>
      </c>
      <c r="C42" s="46" t="s">
        <v>25</v>
      </c>
      <c r="D42" s="25" t="s">
        <v>28</v>
      </c>
      <c r="E42" s="25" t="s">
        <v>26</v>
      </c>
      <c r="F42" s="25" t="s">
        <v>28</v>
      </c>
      <c r="G42" s="25" t="s">
        <v>30</v>
      </c>
      <c r="H42" s="29"/>
      <c r="J42" s="46">
        <v>0.02</v>
      </c>
      <c r="K42" s="49">
        <v>7.0000000000000007E-2</v>
      </c>
    </row>
    <row r="43" spans="1:11">
      <c r="A43" s="28"/>
      <c r="B43" s="24">
        <v>29</v>
      </c>
      <c r="C43" s="46" t="s">
        <v>25</v>
      </c>
      <c r="D43" s="25" t="s">
        <v>28</v>
      </c>
      <c r="E43" s="25" t="s">
        <v>26</v>
      </c>
      <c r="F43" s="25" t="s">
        <v>28</v>
      </c>
      <c r="G43" s="25" t="s">
        <v>30</v>
      </c>
      <c r="H43" s="29"/>
      <c r="J43" s="46">
        <v>0.02</v>
      </c>
      <c r="K43" s="49">
        <v>7.0000000000000007E-2</v>
      </c>
    </row>
    <row r="44" spans="1:11">
      <c r="A44" s="28"/>
      <c r="B44" s="24">
        <v>30</v>
      </c>
      <c r="C44" s="46" t="s">
        <v>25</v>
      </c>
      <c r="D44" s="25" t="s">
        <v>28</v>
      </c>
      <c r="E44" s="25" t="s">
        <v>26</v>
      </c>
      <c r="F44" s="25" t="s">
        <v>28</v>
      </c>
      <c r="G44" s="25" t="s">
        <v>30</v>
      </c>
      <c r="H44" s="29"/>
      <c r="J44" s="46">
        <v>0.02</v>
      </c>
      <c r="K44" s="49">
        <v>7.0000000000000007E-2</v>
      </c>
    </row>
    <row r="45" spans="1:11">
      <c r="A45" s="28"/>
      <c r="B45" s="24">
        <v>31</v>
      </c>
      <c r="C45" s="46" t="s">
        <v>25</v>
      </c>
      <c r="D45" s="25" t="s">
        <v>28</v>
      </c>
      <c r="E45" s="25" t="s">
        <v>26</v>
      </c>
      <c r="F45" s="25" t="s">
        <v>28</v>
      </c>
      <c r="G45" s="25" t="s">
        <v>30</v>
      </c>
      <c r="H45" s="29"/>
      <c r="J45" s="46">
        <v>0.02</v>
      </c>
      <c r="K45" s="49">
        <v>7.0000000000000007E-2</v>
      </c>
    </row>
    <row r="46" spans="1:11">
      <c r="A46" s="28"/>
      <c r="B46" s="24">
        <v>32</v>
      </c>
      <c r="C46" s="46" t="s">
        <v>25</v>
      </c>
      <c r="D46" s="25" t="s">
        <v>28</v>
      </c>
      <c r="E46" s="25" t="s">
        <v>26</v>
      </c>
      <c r="F46" s="25" t="s">
        <v>28</v>
      </c>
      <c r="G46" s="25" t="s">
        <v>30</v>
      </c>
      <c r="H46" s="29"/>
      <c r="J46" s="46">
        <v>0.02</v>
      </c>
      <c r="K46" s="49">
        <v>7.0000000000000007E-2</v>
      </c>
    </row>
    <row r="47" spans="1:11">
      <c r="A47" s="28"/>
      <c r="B47" s="24">
        <v>33</v>
      </c>
      <c r="C47" s="46" t="s">
        <v>25</v>
      </c>
      <c r="D47" s="25" t="s">
        <v>28</v>
      </c>
      <c r="E47" s="25" t="s">
        <v>26</v>
      </c>
      <c r="F47" s="25" t="s">
        <v>28</v>
      </c>
      <c r="G47" s="25" t="s">
        <v>30</v>
      </c>
      <c r="H47" s="29"/>
      <c r="J47" s="46">
        <v>0.02</v>
      </c>
      <c r="K47" s="49">
        <v>7.0000000000000007E-2</v>
      </c>
    </row>
    <row r="48" spans="1:11">
      <c r="A48" s="28"/>
      <c r="B48" s="24">
        <v>34</v>
      </c>
      <c r="C48" s="46" t="s">
        <v>25</v>
      </c>
      <c r="D48" s="25" t="s">
        <v>28</v>
      </c>
      <c r="E48" s="25" t="s">
        <v>26</v>
      </c>
      <c r="F48" s="25" t="s">
        <v>28</v>
      </c>
      <c r="G48" s="25" t="s">
        <v>30</v>
      </c>
      <c r="H48" s="29"/>
      <c r="J48" s="46">
        <v>0.02</v>
      </c>
      <c r="K48" s="49">
        <v>7.0000000000000007E-2</v>
      </c>
    </row>
    <row r="49" spans="1:11">
      <c r="A49" s="28"/>
      <c r="B49" s="24">
        <v>35</v>
      </c>
      <c r="C49" s="46" t="s">
        <v>25</v>
      </c>
      <c r="D49" s="25" t="s">
        <v>28</v>
      </c>
      <c r="E49" s="25" t="s">
        <v>26</v>
      </c>
      <c r="F49" s="25" t="s">
        <v>28</v>
      </c>
      <c r="G49" s="25" t="s">
        <v>30</v>
      </c>
      <c r="H49" s="29"/>
      <c r="J49" s="46">
        <v>0.02</v>
      </c>
      <c r="K49" s="49">
        <v>7.0000000000000007E-2</v>
      </c>
    </row>
    <row r="50" spans="1:11">
      <c r="A50" s="28"/>
      <c r="B50" s="24">
        <v>36</v>
      </c>
      <c r="C50" s="46" t="s">
        <v>25</v>
      </c>
      <c r="D50" s="25" t="s">
        <v>28</v>
      </c>
      <c r="E50" s="25" t="s">
        <v>26</v>
      </c>
      <c r="F50" s="25" t="s">
        <v>28</v>
      </c>
      <c r="G50" s="25" t="s">
        <v>30</v>
      </c>
      <c r="H50" s="29"/>
      <c r="J50" s="46">
        <v>0.02</v>
      </c>
      <c r="K50" s="49">
        <v>7.0000000000000007E-2</v>
      </c>
    </row>
    <row r="51" spans="1:11">
      <c r="A51" s="28"/>
      <c r="B51" s="24">
        <v>37</v>
      </c>
      <c r="C51" s="46" t="s">
        <v>25</v>
      </c>
      <c r="D51" s="25" t="s">
        <v>28</v>
      </c>
      <c r="E51" s="25" t="s">
        <v>26</v>
      </c>
      <c r="F51" s="25" t="s">
        <v>28</v>
      </c>
      <c r="G51" s="25" t="s">
        <v>30</v>
      </c>
      <c r="H51" s="29"/>
      <c r="J51" s="46">
        <v>0.02</v>
      </c>
      <c r="K51" s="49">
        <v>7.0000000000000007E-2</v>
      </c>
    </row>
    <row r="52" spans="1:11">
      <c r="A52" s="28"/>
      <c r="B52" s="24">
        <v>38</v>
      </c>
      <c r="C52" s="46" t="s">
        <v>25</v>
      </c>
      <c r="D52" s="25" t="s">
        <v>28</v>
      </c>
      <c r="E52" s="25" t="s">
        <v>26</v>
      </c>
      <c r="F52" s="25" t="s">
        <v>28</v>
      </c>
      <c r="G52" s="25" t="s">
        <v>30</v>
      </c>
      <c r="H52" s="29"/>
      <c r="J52" s="46">
        <v>0.02</v>
      </c>
      <c r="K52" s="49">
        <v>7.0000000000000007E-2</v>
      </c>
    </row>
    <row r="53" spans="1:11">
      <c r="A53" s="28"/>
      <c r="B53" s="24">
        <v>39</v>
      </c>
      <c r="C53" s="46" t="s">
        <v>25</v>
      </c>
      <c r="D53" s="25" t="s">
        <v>28</v>
      </c>
      <c r="E53" s="25" t="s">
        <v>26</v>
      </c>
      <c r="F53" s="25" t="s">
        <v>28</v>
      </c>
      <c r="G53" s="25" t="s">
        <v>30</v>
      </c>
      <c r="H53" s="29"/>
      <c r="J53" s="46">
        <v>0.02</v>
      </c>
      <c r="K53" s="49">
        <v>7.0000000000000007E-2</v>
      </c>
    </row>
    <row r="54" spans="1:11">
      <c r="A54" s="28"/>
      <c r="B54" s="24">
        <v>40</v>
      </c>
      <c r="C54" s="46" t="s">
        <v>25</v>
      </c>
      <c r="D54" s="25" t="s">
        <v>28</v>
      </c>
      <c r="E54" s="25" t="s">
        <v>26</v>
      </c>
      <c r="F54" s="25" t="s">
        <v>28</v>
      </c>
      <c r="G54" s="25" t="s">
        <v>30</v>
      </c>
      <c r="H54" s="29"/>
      <c r="J54" s="46">
        <v>0.02</v>
      </c>
      <c r="K54" s="49">
        <v>7.0000000000000007E-2</v>
      </c>
    </row>
    <row r="55" spans="1:11">
      <c r="A55" s="30"/>
      <c r="B55" s="111"/>
      <c r="C55" s="112"/>
      <c r="D55" s="112"/>
      <c r="E55" s="113"/>
      <c r="F55" s="112"/>
      <c r="G55" s="31"/>
      <c r="H55" s="32"/>
    </row>
    <row r="56" spans="1:11">
      <c r="A56" s="30"/>
      <c r="B56" s="111"/>
      <c r="C56" s="112"/>
      <c r="D56" s="112"/>
      <c r="E56" s="113"/>
      <c r="F56" s="112"/>
      <c r="G56" s="31"/>
      <c r="H56" s="32"/>
    </row>
    <row r="57" spans="1:11">
      <c r="A57" s="10"/>
      <c r="B57" s="15"/>
      <c r="C57" s="9"/>
      <c r="D57" s="9"/>
      <c r="E57" s="15"/>
      <c r="F57" s="9"/>
      <c r="G57" s="9"/>
      <c r="H57" s="9"/>
    </row>
    <row r="58" spans="1:11" ht="21" customHeight="1">
      <c r="A58" s="50"/>
      <c r="B58" s="33"/>
      <c r="C58" s="130" t="s">
        <v>49</v>
      </c>
      <c r="D58" s="130"/>
      <c r="E58" s="130"/>
      <c r="F58" s="130"/>
      <c r="G58" s="130"/>
      <c r="H58" s="34"/>
    </row>
    <row r="59" spans="1:11" ht="21" customHeight="1">
      <c r="A59" s="50"/>
      <c r="B59" s="35"/>
      <c r="C59" s="36"/>
      <c r="D59" s="37" t="s">
        <v>10</v>
      </c>
      <c r="E59" s="38" t="s">
        <v>3</v>
      </c>
      <c r="F59" s="37" t="s">
        <v>11</v>
      </c>
      <c r="G59" s="39" t="s">
        <v>12</v>
      </c>
      <c r="H59" s="40"/>
    </row>
    <row r="60" spans="1:11" ht="21" customHeight="1">
      <c r="A60" s="131"/>
      <c r="B60" s="132" t="s">
        <v>50</v>
      </c>
      <c r="C60" s="37" t="s">
        <v>10</v>
      </c>
      <c r="D60" s="37">
        <f t="array" ref="D60">SUMPRODUCT((D15:D54="Negative")*(F15:F54="Negative"))</f>
        <v>20</v>
      </c>
      <c r="E60" s="37">
        <f t="array" ref="E60">SUMPRODUCT((D15:D54="Negative")*(F15:F54="Equivocal"))</f>
        <v>0</v>
      </c>
      <c r="F60" s="37">
        <f t="array" ref="F60">SUMPRODUCT((D15:D54="Negative")*(F15:F54="Positive"))</f>
        <v>0</v>
      </c>
      <c r="G60" s="37">
        <f>SUM(D60:F60)</f>
        <v>20</v>
      </c>
      <c r="H60" s="41"/>
    </row>
    <row r="61" spans="1:11" ht="21" customHeight="1">
      <c r="A61" s="131"/>
      <c r="B61" s="132"/>
      <c r="C61" s="37" t="s">
        <v>11</v>
      </c>
      <c r="D61" s="37">
        <f t="array" ref="D61">SUMPRODUCT((D15:D54="Positive")*(F15:F54="Negative"))</f>
        <v>2</v>
      </c>
      <c r="E61" s="37">
        <f t="array" ref="E61">SUMPRODUCT((D15:D54="Positive")*(F15:F54="Equivocal"))</f>
        <v>0</v>
      </c>
      <c r="F61" s="37">
        <f t="array" ref="F61">SUMPRODUCT((D15:D54="Positive")*(F15:F54="Positive"))</f>
        <v>18</v>
      </c>
      <c r="G61" s="37">
        <f>SUM(D61:F61)</f>
        <v>20</v>
      </c>
      <c r="H61" s="41"/>
    </row>
    <row r="62" spans="1:11" ht="21" customHeight="1">
      <c r="A62" s="131"/>
      <c r="B62" s="132"/>
      <c r="C62" s="39" t="s">
        <v>12</v>
      </c>
      <c r="D62" s="37">
        <f>SUM(D60:D61)</f>
        <v>22</v>
      </c>
      <c r="E62" s="37">
        <f>SUM(E60:E61)</f>
        <v>0</v>
      </c>
      <c r="F62" s="37">
        <f>SUM(F60:F61)</f>
        <v>18</v>
      </c>
      <c r="G62" s="37">
        <f>SUM(G60:G61)</f>
        <v>40</v>
      </c>
      <c r="H62" s="41"/>
    </row>
    <row r="63" spans="1:11" ht="21" customHeight="1">
      <c r="A63" s="42"/>
      <c r="B63" s="42"/>
      <c r="C63" s="42"/>
      <c r="D63" s="42"/>
      <c r="E63" s="141" t="s">
        <v>13</v>
      </c>
      <c r="F63" s="141"/>
      <c r="G63" s="43" t="str">
        <f>TEXT((SUM(D60,,F61)/SUM(D60:F61)*100),"0.0")&amp;"%"</f>
        <v>95.0%</v>
      </c>
      <c r="H63" s="43"/>
    </row>
    <row r="64" spans="1:11" ht="21" customHeight="1">
      <c r="A64" s="28"/>
      <c r="B64" s="22"/>
      <c r="C64" s="44"/>
      <c r="D64" s="44"/>
      <c r="E64" s="22"/>
      <c r="F64" s="43" t="s">
        <v>14</v>
      </c>
      <c r="G64" s="43" t="str">
        <f>TEXT((SUM(D60)/SUM(D60:F60)*100),"0.0")&amp;"%"</f>
        <v>100.0%</v>
      </c>
      <c r="H64" s="44"/>
    </row>
    <row r="65" spans="1:8" ht="21" customHeight="1">
      <c r="A65" s="28"/>
      <c r="B65" s="22"/>
      <c r="C65" s="44"/>
      <c r="D65" s="44"/>
      <c r="E65" s="22"/>
      <c r="F65" s="43" t="s">
        <v>15</v>
      </c>
      <c r="G65" s="43" t="str">
        <f>TEXT((SUM(F61)/SUM(D61:F61)*100),"0.0")&amp;"%"</f>
        <v>90.0%</v>
      </c>
      <c r="H65" s="44"/>
    </row>
    <row r="66" spans="1:8" ht="21" customHeight="1">
      <c r="A66" s="28"/>
      <c r="B66" s="22"/>
      <c r="C66" s="44"/>
      <c r="D66" s="44"/>
      <c r="E66" s="22"/>
      <c r="F66" s="43" t="s">
        <v>16</v>
      </c>
      <c r="G66" s="45" t="str">
        <f>TEXT((SUM(E61:F61)/SUM(D61:F61)*100),"0.0")&amp;"%"</f>
        <v>90.0%</v>
      </c>
      <c r="H66" s="44"/>
    </row>
  </sheetData>
  <mergeCells count="18">
    <mergeCell ref="E8:F8"/>
    <mergeCell ref="E63:F63"/>
    <mergeCell ref="A1:H1"/>
    <mergeCell ref="G13:G14"/>
    <mergeCell ref="C58:G58"/>
    <mergeCell ref="A60:A62"/>
    <mergeCell ref="B60:B62"/>
    <mergeCell ref="C9:D9"/>
    <mergeCell ref="E9:F9"/>
    <mergeCell ref="C10:D10"/>
    <mergeCell ref="E10:F10"/>
    <mergeCell ref="C13:D13"/>
    <mergeCell ref="E13:F13"/>
    <mergeCell ref="C3:E3"/>
    <mergeCell ref="C4:E4"/>
    <mergeCell ref="C7:D7"/>
    <mergeCell ref="E7:F7"/>
    <mergeCell ref="C8:D8"/>
  </mergeCells>
  <phoneticPr fontId="3" type="noConversion"/>
  <conditionalFormatting sqref="G15:G54">
    <cfRule type="cellIs" dxfId="40" priority="20" operator="equal">
      <formula>"Reactive"</formula>
    </cfRule>
  </conditionalFormatting>
  <conditionalFormatting sqref="C3:C4">
    <cfRule type="containsBlanks" dxfId="39" priority="28">
      <formula>LEN(TRIM(C3))=0</formula>
    </cfRule>
  </conditionalFormatting>
  <conditionalFormatting sqref="C15:C54 E15:E54">
    <cfRule type="containsBlanks" dxfId="38" priority="26">
      <formula>LEN(TRIM(C15))=0</formula>
    </cfRule>
  </conditionalFormatting>
  <conditionalFormatting sqref="D15:D54">
    <cfRule type="cellIs" dxfId="37" priority="21" operator="equal">
      <formula>"Reactive"</formula>
    </cfRule>
    <cfRule type="cellIs" dxfId="36" priority="22" operator="equal">
      <formula>"Positive"</formula>
    </cfRule>
    <cfRule type="cellIs" dxfId="35" priority="23" operator="equal">
      <formula>"Negative"</formula>
    </cfRule>
  </conditionalFormatting>
  <conditionalFormatting sqref="E15:E54">
    <cfRule type="cellIs" dxfId="34" priority="18" operator="equal">
      <formula>240</formula>
    </cfRule>
    <cfRule type="cellIs" dxfId="33" priority="19" operator="equal">
      <formula>0.4</formula>
    </cfRule>
  </conditionalFormatting>
  <conditionalFormatting sqref="F15:F54">
    <cfRule type="cellIs" dxfId="32" priority="15" operator="equal">
      <formula>"Reactive"</formula>
    </cfRule>
    <cfRule type="cellIs" dxfId="31" priority="16" operator="equal">
      <formula>"Positive"</formula>
    </cfRule>
    <cfRule type="cellIs" dxfId="30" priority="17" operator="equal">
      <formula>"Negative"</formula>
    </cfRule>
  </conditionalFormatting>
  <conditionalFormatting sqref="J15:J54">
    <cfRule type="containsBlanks" dxfId="29" priority="7">
      <formula>LEN(TRIM(J15))=0</formula>
    </cfRule>
  </conditionalFormatting>
  <conditionalFormatting sqref="K35:K54">
    <cfRule type="containsBlanks" dxfId="28" priority="6">
      <formula>LEN(TRIM(K35))=0</formula>
    </cfRule>
  </conditionalFormatting>
  <conditionalFormatting sqref="K35:K54">
    <cfRule type="cellIs" dxfId="27" priority="4" operator="equal">
      <formula>240</formula>
    </cfRule>
    <cfRule type="cellIs" dxfId="26" priority="5" operator="equal">
      <formula>0.4</formula>
    </cfRule>
  </conditionalFormatting>
  <conditionalFormatting sqref="K15:K34">
    <cfRule type="containsBlanks" dxfId="25" priority="3">
      <formula>LEN(TRIM(K15))=0</formula>
    </cfRule>
  </conditionalFormatting>
  <conditionalFormatting sqref="K15:K34">
    <cfRule type="cellIs" dxfId="24" priority="1" operator="equal">
      <formula>240</formula>
    </cfRule>
    <cfRule type="cellIs" dxfId="23" priority="2" operator="equal">
      <formula>0.4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O16" sqref="O16"/>
    </sheetView>
  </sheetViews>
  <sheetFormatPr defaultRowHeight="16.5"/>
  <cols>
    <col min="1" max="16384" width="9" style="85"/>
  </cols>
  <sheetData>
    <row r="1" spans="1:11" ht="32.25" thickBot="1">
      <c r="A1" s="125" t="s">
        <v>62</v>
      </c>
      <c r="B1" s="126"/>
      <c r="C1" s="126"/>
      <c r="D1" s="126"/>
      <c r="E1" s="126"/>
      <c r="F1" s="126"/>
      <c r="G1" s="126"/>
      <c r="H1" s="127"/>
    </row>
    <row r="2" spans="1:11" ht="17.25" thickTop="1">
      <c r="A2" s="51"/>
      <c r="B2" s="52"/>
      <c r="C2" s="86"/>
      <c r="D2" s="86"/>
      <c r="E2" s="86"/>
      <c r="F2" s="52"/>
      <c r="G2" s="52"/>
      <c r="H2" s="53"/>
    </row>
    <row r="3" spans="1:11">
      <c r="A3" s="54" t="s">
        <v>0</v>
      </c>
      <c r="B3" s="55"/>
      <c r="C3" s="137" t="s">
        <v>18</v>
      </c>
      <c r="D3" s="137"/>
      <c r="E3" s="137"/>
      <c r="F3" s="56"/>
      <c r="G3" s="56"/>
      <c r="H3" s="57"/>
    </row>
    <row r="4" spans="1:11">
      <c r="A4" s="54" t="s">
        <v>1</v>
      </c>
      <c r="B4" s="55"/>
      <c r="C4" s="138" t="s">
        <v>17</v>
      </c>
      <c r="D4" s="138"/>
      <c r="E4" s="138"/>
      <c r="F4" s="56"/>
      <c r="G4" s="56"/>
      <c r="H4" s="57"/>
    </row>
    <row r="5" spans="1:11" ht="17.25" thickBot="1">
      <c r="A5" s="58"/>
      <c r="B5" s="87"/>
      <c r="C5" s="87"/>
      <c r="D5" s="88"/>
      <c r="E5" s="89"/>
      <c r="F5" s="90"/>
      <c r="G5" s="90"/>
      <c r="H5" s="59"/>
    </row>
    <row r="6" spans="1:11" ht="17.25" thickTop="1">
      <c r="A6" s="60"/>
      <c r="B6" s="61"/>
      <c r="C6" s="61"/>
      <c r="D6" s="62"/>
      <c r="E6" s="63"/>
      <c r="F6" s="64"/>
      <c r="G6" s="64"/>
      <c r="H6" s="65"/>
    </row>
    <row r="7" spans="1:11">
      <c r="A7" s="66"/>
      <c r="B7" s="52"/>
      <c r="C7" s="139" t="s">
        <v>19</v>
      </c>
      <c r="D7" s="139"/>
      <c r="E7" s="139" t="s">
        <v>20</v>
      </c>
      <c r="F7" s="139"/>
      <c r="G7" s="67"/>
      <c r="H7" s="65"/>
    </row>
    <row r="8" spans="1:11">
      <c r="A8" s="68" t="s">
        <v>2</v>
      </c>
      <c r="B8" s="69"/>
      <c r="C8" s="140" t="s">
        <v>24</v>
      </c>
      <c r="D8" s="140"/>
      <c r="E8" s="140" t="s">
        <v>21</v>
      </c>
      <c r="F8" s="140"/>
      <c r="G8" s="70"/>
      <c r="H8" s="65"/>
    </row>
    <row r="9" spans="1:11">
      <c r="A9" s="68" t="s">
        <v>3</v>
      </c>
      <c r="B9" s="69"/>
      <c r="C9" s="133" t="s">
        <v>32</v>
      </c>
      <c r="D9" s="133"/>
      <c r="E9" s="133" t="s">
        <v>22</v>
      </c>
      <c r="F9" s="133"/>
      <c r="G9" s="70"/>
      <c r="H9" s="65"/>
    </row>
    <row r="10" spans="1:11">
      <c r="A10" s="68" t="s">
        <v>4</v>
      </c>
      <c r="B10" s="69"/>
      <c r="C10" s="134" t="s">
        <v>33</v>
      </c>
      <c r="D10" s="134"/>
      <c r="E10" s="134" t="s">
        <v>23</v>
      </c>
      <c r="F10" s="134"/>
      <c r="G10" s="71"/>
      <c r="H10" s="65"/>
    </row>
    <row r="11" spans="1:11">
      <c r="A11" s="72"/>
      <c r="B11" s="91"/>
      <c r="C11" s="92"/>
      <c r="D11" s="92"/>
      <c r="E11" s="92"/>
      <c r="F11" s="93"/>
      <c r="G11" s="93"/>
      <c r="H11" s="73"/>
    </row>
    <row r="12" spans="1:11">
      <c r="A12" s="94"/>
      <c r="B12" s="95"/>
      <c r="C12" s="96"/>
      <c r="D12" s="96"/>
      <c r="E12" s="96"/>
      <c r="F12" s="97"/>
      <c r="G12" s="98"/>
      <c r="H12" s="98"/>
    </row>
    <row r="13" spans="1:11">
      <c r="A13" s="99"/>
      <c r="B13" s="100" t="s">
        <v>5</v>
      </c>
      <c r="C13" s="135" t="s">
        <v>19</v>
      </c>
      <c r="D13" s="136"/>
      <c r="E13" s="135" t="s">
        <v>20</v>
      </c>
      <c r="F13" s="136"/>
      <c r="G13" s="128" t="s">
        <v>6</v>
      </c>
      <c r="H13" s="101"/>
    </row>
    <row r="14" spans="1:11">
      <c r="A14" s="99"/>
      <c r="B14" s="102" t="s">
        <v>7</v>
      </c>
      <c r="C14" s="103" t="s">
        <v>8</v>
      </c>
      <c r="D14" s="103" t="s">
        <v>9</v>
      </c>
      <c r="E14" s="103" t="s">
        <v>8</v>
      </c>
      <c r="F14" s="103" t="s">
        <v>9</v>
      </c>
      <c r="G14" s="129"/>
      <c r="H14" s="104"/>
    </row>
    <row r="15" spans="1:11">
      <c r="A15" s="105"/>
      <c r="B15" s="106">
        <v>1</v>
      </c>
      <c r="C15" s="46">
        <v>7.55</v>
      </c>
      <c r="D15" s="25" t="s">
        <v>29</v>
      </c>
      <c r="E15" s="25">
        <v>8.1999999999999993</v>
      </c>
      <c r="F15" s="25" t="s">
        <v>29</v>
      </c>
      <c r="G15" s="25" t="s">
        <v>30</v>
      </c>
      <c r="H15" s="26"/>
      <c r="J15" s="46">
        <v>7.55</v>
      </c>
      <c r="K15" s="25">
        <v>8.1999999999999993</v>
      </c>
    </row>
    <row r="16" spans="1:11">
      <c r="A16" s="105"/>
      <c r="B16" s="106">
        <v>2</v>
      </c>
      <c r="C16" s="46">
        <v>6.26</v>
      </c>
      <c r="D16" s="25" t="s">
        <v>29</v>
      </c>
      <c r="E16" s="25">
        <v>4.88</v>
      </c>
      <c r="F16" s="25" t="s">
        <v>29</v>
      </c>
      <c r="G16" s="25" t="s">
        <v>30</v>
      </c>
      <c r="H16" s="26"/>
      <c r="J16" s="46">
        <v>6.26</v>
      </c>
      <c r="K16" s="25">
        <v>4.88</v>
      </c>
    </row>
    <row r="17" spans="1:11">
      <c r="A17" s="105"/>
      <c r="B17" s="106">
        <v>3</v>
      </c>
      <c r="C17" s="46">
        <v>6.68</v>
      </c>
      <c r="D17" s="25" t="s">
        <v>29</v>
      </c>
      <c r="E17" s="25">
        <v>6.37</v>
      </c>
      <c r="F17" s="25" t="s">
        <v>29</v>
      </c>
      <c r="G17" s="25" t="s">
        <v>30</v>
      </c>
      <c r="H17" s="26"/>
      <c r="J17" s="46">
        <v>6.68</v>
      </c>
      <c r="K17" s="25">
        <v>6.37</v>
      </c>
    </row>
    <row r="18" spans="1:11">
      <c r="A18" s="105"/>
      <c r="B18" s="106">
        <v>4</v>
      </c>
      <c r="C18" s="46">
        <v>4.03</v>
      </c>
      <c r="D18" s="25" t="s">
        <v>29</v>
      </c>
      <c r="E18" s="25">
        <v>2.96</v>
      </c>
      <c r="F18" s="25" t="s">
        <v>29</v>
      </c>
      <c r="G18" s="25" t="s">
        <v>30</v>
      </c>
      <c r="H18" s="26"/>
      <c r="J18" s="46">
        <v>4.03</v>
      </c>
      <c r="K18" s="25">
        <v>2.96</v>
      </c>
    </row>
    <row r="19" spans="1:11">
      <c r="A19" s="105"/>
      <c r="B19" s="106">
        <v>5</v>
      </c>
      <c r="C19" s="46">
        <v>6.75</v>
      </c>
      <c r="D19" s="25" t="s">
        <v>29</v>
      </c>
      <c r="E19" s="25">
        <v>8.1</v>
      </c>
      <c r="F19" s="25" t="s">
        <v>29</v>
      </c>
      <c r="G19" s="25" t="s">
        <v>30</v>
      </c>
      <c r="H19" s="26"/>
      <c r="J19" s="46">
        <v>6.75</v>
      </c>
      <c r="K19" s="25">
        <v>8.1</v>
      </c>
    </row>
    <row r="20" spans="1:11">
      <c r="A20" s="105"/>
      <c r="B20" s="106">
        <v>6</v>
      </c>
      <c r="C20" s="46">
        <v>6.99</v>
      </c>
      <c r="D20" s="25" t="s">
        <v>29</v>
      </c>
      <c r="E20" s="25">
        <v>8.5</v>
      </c>
      <c r="F20" s="25" t="s">
        <v>29</v>
      </c>
      <c r="G20" s="25" t="s">
        <v>30</v>
      </c>
      <c r="H20" s="26"/>
      <c r="J20" s="46">
        <v>6.99</v>
      </c>
      <c r="K20" s="25">
        <v>8.5</v>
      </c>
    </row>
    <row r="21" spans="1:11">
      <c r="A21" s="107"/>
      <c r="B21" s="106">
        <v>7</v>
      </c>
      <c r="C21" s="46">
        <v>10.54</v>
      </c>
      <c r="D21" s="25" t="s">
        <v>29</v>
      </c>
      <c r="E21" s="25">
        <v>12.3</v>
      </c>
      <c r="F21" s="25" t="s">
        <v>29</v>
      </c>
      <c r="G21" s="25" t="s">
        <v>30</v>
      </c>
      <c r="H21" s="26"/>
      <c r="J21" s="46">
        <v>10.54</v>
      </c>
      <c r="K21" s="25">
        <v>12.3</v>
      </c>
    </row>
    <row r="22" spans="1:11">
      <c r="A22" s="108"/>
      <c r="B22" s="106">
        <v>8</v>
      </c>
      <c r="C22" s="46">
        <v>2.0499999999999998</v>
      </c>
      <c r="D22" s="25" t="s">
        <v>29</v>
      </c>
      <c r="E22" s="25">
        <v>1.53</v>
      </c>
      <c r="F22" s="25" t="s">
        <v>29</v>
      </c>
      <c r="G22" s="25" t="s">
        <v>30</v>
      </c>
      <c r="H22" s="26"/>
      <c r="J22" s="46">
        <v>2.0499999999999998</v>
      </c>
      <c r="K22" s="25">
        <v>1.53</v>
      </c>
    </row>
    <row r="23" spans="1:11">
      <c r="A23" s="108"/>
      <c r="B23" s="106">
        <v>9</v>
      </c>
      <c r="C23" s="46">
        <v>2.5499999999999998</v>
      </c>
      <c r="D23" s="25" t="s">
        <v>29</v>
      </c>
      <c r="E23" s="25">
        <v>1.1000000000000001</v>
      </c>
      <c r="F23" s="25" t="s">
        <v>29</v>
      </c>
      <c r="G23" s="25" t="s">
        <v>30</v>
      </c>
      <c r="H23" s="26"/>
      <c r="J23" s="46">
        <v>2.5499999999999998</v>
      </c>
      <c r="K23" s="25">
        <v>1.1000000000000001</v>
      </c>
    </row>
    <row r="24" spans="1:11">
      <c r="A24" s="108"/>
      <c r="B24" s="106">
        <v>10</v>
      </c>
      <c r="C24" s="46">
        <v>10.25</v>
      </c>
      <c r="D24" s="25" t="s">
        <v>29</v>
      </c>
      <c r="E24" s="25">
        <v>12.5</v>
      </c>
      <c r="F24" s="25" t="s">
        <v>29</v>
      </c>
      <c r="G24" s="25" t="s">
        <v>30</v>
      </c>
      <c r="H24" s="26"/>
      <c r="J24" s="46">
        <v>10.25</v>
      </c>
      <c r="K24" s="25">
        <v>12.5</v>
      </c>
    </row>
    <row r="25" spans="1:11">
      <c r="A25" s="108"/>
      <c r="B25" s="106">
        <v>11</v>
      </c>
      <c r="C25" s="46">
        <v>9.67</v>
      </c>
      <c r="D25" s="25" t="s">
        <v>29</v>
      </c>
      <c r="E25" s="25">
        <v>11.5</v>
      </c>
      <c r="F25" s="25" t="s">
        <v>29</v>
      </c>
      <c r="G25" s="25" t="s">
        <v>30</v>
      </c>
      <c r="H25" s="26"/>
      <c r="J25" s="46">
        <v>9.67</v>
      </c>
      <c r="K25" s="25">
        <v>11.5</v>
      </c>
    </row>
    <row r="26" spans="1:11">
      <c r="A26" s="108"/>
      <c r="B26" s="115">
        <v>12</v>
      </c>
      <c r="C26" s="48">
        <v>0.56999999999999995</v>
      </c>
      <c r="D26" s="49" t="s">
        <v>29</v>
      </c>
      <c r="E26" s="49">
        <v>0.19</v>
      </c>
      <c r="F26" s="49" t="s">
        <v>28</v>
      </c>
      <c r="G26" s="49" t="s">
        <v>31</v>
      </c>
      <c r="H26" s="26"/>
      <c r="J26" s="48">
        <v>0.56999999999999995</v>
      </c>
      <c r="K26" s="49">
        <v>0.19</v>
      </c>
    </row>
    <row r="27" spans="1:11">
      <c r="A27" s="108"/>
      <c r="B27" s="115">
        <v>13</v>
      </c>
      <c r="C27" s="48">
        <v>0.72</v>
      </c>
      <c r="D27" s="49" t="s">
        <v>29</v>
      </c>
      <c r="E27" s="49">
        <v>7.0000000000000007E-2</v>
      </c>
      <c r="F27" s="49" t="s">
        <v>28</v>
      </c>
      <c r="G27" s="49" t="s">
        <v>31</v>
      </c>
      <c r="H27" s="26"/>
      <c r="J27" s="48">
        <v>0.72</v>
      </c>
      <c r="K27" s="49">
        <v>7.0000000000000007E-2</v>
      </c>
    </row>
    <row r="28" spans="1:11">
      <c r="A28" s="108"/>
      <c r="B28" s="106">
        <v>14</v>
      </c>
      <c r="C28" s="46">
        <v>7.4</v>
      </c>
      <c r="D28" s="25" t="s">
        <v>29</v>
      </c>
      <c r="E28" s="25">
        <v>6.32</v>
      </c>
      <c r="F28" s="25" t="s">
        <v>29</v>
      </c>
      <c r="G28" s="25" t="s">
        <v>30</v>
      </c>
      <c r="H28" s="109"/>
      <c r="J28" s="46">
        <v>7.4</v>
      </c>
      <c r="K28" s="25">
        <v>6.32</v>
      </c>
    </row>
    <row r="29" spans="1:11">
      <c r="A29" s="108"/>
      <c r="B29" s="106">
        <v>15</v>
      </c>
      <c r="C29" s="46">
        <v>10.9</v>
      </c>
      <c r="D29" s="25" t="s">
        <v>29</v>
      </c>
      <c r="E29" s="25">
        <v>13.7</v>
      </c>
      <c r="F29" s="25" t="s">
        <v>29</v>
      </c>
      <c r="G29" s="25" t="s">
        <v>30</v>
      </c>
      <c r="H29" s="109"/>
      <c r="J29" s="46">
        <v>10.9</v>
      </c>
      <c r="K29" s="25">
        <v>13.7</v>
      </c>
    </row>
    <row r="30" spans="1:11">
      <c r="A30" s="108"/>
      <c r="B30" s="106">
        <v>16</v>
      </c>
      <c r="C30" s="46">
        <v>8.9700000000000006</v>
      </c>
      <c r="D30" s="25" t="s">
        <v>29</v>
      </c>
      <c r="E30" s="25">
        <v>9.1</v>
      </c>
      <c r="F30" s="25" t="s">
        <v>29</v>
      </c>
      <c r="G30" s="25" t="s">
        <v>30</v>
      </c>
      <c r="H30" s="109"/>
      <c r="J30" s="46">
        <v>8.9700000000000006</v>
      </c>
      <c r="K30" s="25">
        <v>9.1</v>
      </c>
    </row>
    <row r="31" spans="1:11">
      <c r="A31" s="108"/>
      <c r="B31" s="106">
        <v>17</v>
      </c>
      <c r="C31" s="46">
        <v>5</v>
      </c>
      <c r="D31" s="25" t="s">
        <v>29</v>
      </c>
      <c r="E31" s="25">
        <v>2.64</v>
      </c>
      <c r="F31" s="25" t="s">
        <v>29</v>
      </c>
      <c r="G31" s="25" t="s">
        <v>30</v>
      </c>
      <c r="H31" s="109"/>
      <c r="J31" s="46">
        <v>5</v>
      </c>
      <c r="K31" s="25">
        <v>2.64</v>
      </c>
    </row>
    <row r="32" spans="1:11">
      <c r="A32" s="108"/>
      <c r="B32" s="106">
        <v>18</v>
      </c>
      <c r="C32" s="46">
        <v>7.01</v>
      </c>
      <c r="D32" s="25" t="s">
        <v>29</v>
      </c>
      <c r="E32" s="25">
        <v>8.6</v>
      </c>
      <c r="F32" s="25" t="s">
        <v>29</v>
      </c>
      <c r="G32" s="25" t="s">
        <v>30</v>
      </c>
      <c r="H32" s="109"/>
      <c r="J32" s="46">
        <v>7.01</v>
      </c>
      <c r="K32" s="25">
        <v>8.6</v>
      </c>
    </row>
    <row r="33" spans="1:11">
      <c r="A33" s="108"/>
      <c r="B33" s="106">
        <v>19</v>
      </c>
      <c r="C33" s="46">
        <v>2.2599999999999998</v>
      </c>
      <c r="D33" s="25" t="s">
        <v>29</v>
      </c>
      <c r="E33" s="25">
        <v>0.75</v>
      </c>
      <c r="F33" s="25" t="s">
        <v>29</v>
      </c>
      <c r="G33" s="25" t="s">
        <v>30</v>
      </c>
      <c r="H33" s="109"/>
      <c r="J33" s="46">
        <v>2.2599999999999998</v>
      </c>
      <c r="K33" s="25">
        <v>0.75</v>
      </c>
    </row>
    <row r="34" spans="1:11">
      <c r="A34" s="108"/>
      <c r="B34" s="106">
        <v>20</v>
      </c>
      <c r="C34" s="46">
        <v>2.21</v>
      </c>
      <c r="D34" s="25" t="s">
        <v>29</v>
      </c>
      <c r="E34" s="25">
        <v>0.41</v>
      </c>
      <c r="F34" s="25" t="s">
        <v>29</v>
      </c>
      <c r="G34" s="25" t="s">
        <v>30</v>
      </c>
      <c r="H34" s="109"/>
      <c r="J34" s="46">
        <v>2.21</v>
      </c>
      <c r="K34" s="25">
        <v>0.41</v>
      </c>
    </row>
    <row r="35" spans="1:11">
      <c r="A35" s="108"/>
      <c r="B35" s="106">
        <v>21</v>
      </c>
      <c r="C35" s="46">
        <v>0.03</v>
      </c>
      <c r="D35" s="25" t="s">
        <v>28</v>
      </c>
      <c r="E35" s="116">
        <v>7.0000000000000007E-2</v>
      </c>
      <c r="F35" s="25" t="s">
        <v>28</v>
      </c>
      <c r="G35" s="25" t="s">
        <v>30</v>
      </c>
      <c r="H35" s="109"/>
      <c r="J35" s="46">
        <v>0.03</v>
      </c>
      <c r="K35" s="116">
        <v>7.0000000000000007E-2</v>
      </c>
    </row>
    <row r="36" spans="1:11">
      <c r="A36" s="108"/>
      <c r="B36" s="106">
        <v>22</v>
      </c>
      <c r="C36" s="46">
        <v>0.02</v>
      </c>
      <c r="D36" s="25" t="s">
        <v>28</v>
      </c>
      <c r="E36" s="116">
        <v>7.0000000000000007E-2</v>
      </c>
      <c r="F36" s="25" t="s">
        <v>28</v>
      </c>
      <c r="G36" s="25" t="s">
        <v>30</v>
      </c>
      <c r="H36" s="109"/>
      <c r="J36" s="46">
        <v>0.02</v>
      </c>
      <c r="K36" s="116">
        <v>7.0000000000000007E-2</v>
      </c>
    </row>
    <row r="37" spans="1:11">
      <c r="A37" s="108"/>
      <c r="B37" s="106">
        <v>23</v>
      </c>
      <c r="C37" s="46">
        <v>0.02</v>
      </c>
      <c r="D37" s="25" t="s">
        <v>28</v>
      </c>
      <c r="E37" s="116">
        <v>7.0000000000000007E-2</v>
      </c>
      <c r="F37" s="25" t="s">
        <v>28</v>
      </c>
      <c r="G37" s="25" t="s">
        <v>30</v>
      </c>
      <c r="H37" s="109"/>
      <c r="J37" s="46">
        <v>0.02</v>
      </c>
      <c r="K37" s="116">
        <v>7.0000000000000007E-2</v>
      </c>
    </row>
    <row r="38" spans="1:11">
      <c r="A38" s="108"/>
      <c r="B38" s="106">
        <v>24</v>
      </c>
      <c r="C38" s="46">
        <v>0.02</v>
      </c>
      <c r="D38" s="25" t="s">
        <v>28</v>
      </c>
      <c r="E38" s="116">
        <v>7.0000000000000007E-2</v>
      </c>
      <c r="F38" s="25" t="s">
        <v>28</v>
      </c>
      <c r="G38" s="25" t="s">
        <v>30</v>
      </c>
      <c r="H38" s="109"/>
      <c r="J38" s="46">
        <v>0.02</v>
      </c>
      <c r="K38" s="116">
        <v>7.0000000000000007E-2</v>
      </c>
    </row>
    <row r="39" spans="1:11">
      <c r="A39" s="108"/>
      <c r="B39" s="106">
        <v>25</v>
      </c>
      <c r="C39" s="46">
        <v>0.02</v>
      </c>
      <c r="D39" s="25" t="s">
        <v>28</v>
      </c>
      <c r="E39" s="116">
        <v>7.0000000000000007E-2</v>
      </c>
      <c r="F39" s="25" t="s">
        <v>28</v>
      </c>
      <c r="G39" s="25" t="s">
        <v>30</v>
      </c>
      <c r="H39" s="109"/>
      <c r="J39" s="46">
        <v>0.02</v>
      </c>
      <c r="K39" s="116">
        <v>7.0000000000000007E-2</v>
      </c>
    </row>
    <row r="40" spans="1:11">
      <c r="A40" s="108"/>
      <c r="B40" s="106">
        <v>26</v>
      </c>
      <c r="C40" s="46">
        <v>0.02</v>
      </c>
      <c r="D40" s="25" t="s">
        <v>28</v>
      </c>
      <c r="E40" s="116">
        <v>7.0000000000000007E-2</v>
      </c>
      <c r="F40" s="25" t="s">
        <v>28</v>
      </c>
      <c r="G40" s="25" t="s">
        <v>30</v>
      </c>
      <c r="H40" s="109"/>
      <c r="J40" s="46">
        <v>0.02</v>
      </c>
      <c r="K40" s="116">
        <v>7.0000000000000007E-2</v>
      </c>
    </row>
    <row r="41" spans="1:11">
      <c r="A41" s="108"/>
      <c r="B41" s="106">
        <v>27</v>
      </c>
      <c r="C41" s="46">
        <v>0.02</v>
      </c>
      <c r="D41" s="25" t="s">
        <v>28</v>
      </c>
      <c r="E41" s="116">
        <v>7.0000000000000007E-2</v>
      </c>
      <c r="F41" s="25" t="s">
        <v>28</v>
      </c>
      <c r="G41" s="25" t="s">
        <v>30</v>
      </c>
      <c r="H41" s="109"/>
      <c r="J41" s="46">
        <v>0.02</v>
      </c>
      <c r="K41" s="116">
        <v>7.0000000000000007E-2</v>
      </c>
    </row>
    <row r="42" spans="1:11">
      <c r="A42" s="108"/>
      <c r="B42" s="106">
        <v>28</v>
      </c>
      <c r="C42" s="46">
        <v>0.02</v>
      </c>
      <c r="D42" s="25" t="s">
        <v>28</v>
      </c>
      <c r="E42" s="116">
        <v>7.0000000000000007E-2</v>
      </c>
      <c r="F42" s="25" t="s">
        <v>28</v>
      </c>
      <c r="G42" s="25" t="s">
        <v>30</v>
      </c>
      <c r="H42" s="109"/>
      <c r="J42" s="46">
        <v>0.02</v>
      </c>
      <c r="K42" s="116">
        <v>7.0000000000000007E-2</v>
      </c>
    </row>
    <row r="43" spans="1:11">
      <c r="A43" s="108"/>
      <c r="B43" s="106">
        <v>29</v>
      </c>
      <c r="C43" s="46">
        <v>0.02</v>
      </c>
      <c r="D43" s="25" t="s">
        <v>28</v>
      </c>
      <c r="E43" s="116">
        <v>7.0000000000000007E-2</v>
      </c>
      <c r="F43" s="25" t="s">
        <v>28</v>
      </c>
      <c r="G43" s="25" t="s">
        <v>30</v>
      </c>
      <c r="H43" s="109"/>
      <c r="J43" s="46">
        <v>0.02</v>
      </c>
      <c r="K43" s="116">
        <v>7.0000000000000007E-2</v>
      </c>
    </row>
    <row r="44" spans="1:11">
      <c r="A44" s="108"/>
      <c r="B44" s="106">
        <v>30</v>
      </c>
      <c r="C44" s="46">
        <v>0.02</v>
      </c>
      <c r="D44" s="25" t="s">
        <v>28</v>
      </c>
      <c r="E44" s="116">
        <v>7.0000000000000007E-2</v>
      </c>
      <c r="F44" s="25" t="s">
        <v>28</v>
      </c>
      <c r="G44" s="25" t="s">
        <v>30</v>
      </c>
      <c r="H44" s="109"/>
      <c r="J44" s="46">
        <v>0.02</v>
      </c>
      <c r="K44" s="116">
        <v>7.0000000000000007E-2</v>
      </c>
    </row>
    <row r="45" spans="1:11">
      <c r="A45" s="108"/>
      <c r="B45" s="106">
        <v>31</v>
      </c>
      <c r="C45" s="46">
        <v>0.02</v>
      </c>
      <c r="D45" s="25" t="s">
        <v>28</v>
      </c>
      <c r="E45" s="116">
        <v>7.0000000000000007E-2</v>
      </c>
      <c r="F45" s="25" t="s">
        <v>28</v>
      </c>
      <c r="G45" s="25" t="s">
        <v>30</v>
      </c>
      <c r="H45" s="109"/>
      <c r="J45" s="46">
        <v>0.02</v>
      </c>
      <c r="K45" s="116">
        <v>7.0000000000000007E-2</v>
      </c>
    </row>
    <row r="46" spans="1:11">
      <c r="A46" s="108"/>
      <c r="B46" s="106">
        <v>32</v>
      </c>
      <c r="C46" s="46">
        <v>0.02</v>
      </c>
      <c r="D46" s="25" t="s">
        <v>28</v>
      </c>
      <c r="E46" s="116">
        <v>7.0000000000000007E-2</v>
      </c>
      <c r="F46" s="25" t="s">
        <v>28</v>
      </c>
      <c r="G46" s="25" t="s">
        <v>30</v>
      </c>
      <c r="H46" s="109"/>
      <c r="J46" s="46">
        <v>0.02</v>
      </c>
      <c r="K46" s="116">
        <v>7.0000000000000007E-2</v>
      </c>
    </row>
    <row r="47" spans="1:11">
      <c r="A47" s="108"/>
      <c r="B47" s="106">
        <v>33</v>
      </c>
      <c r="C47" s="46">
        <v>0.02</v>
      </c>
      <c r="D47" s="25" t="s">
        <v>28</v>
      </c>
      <c r="E47" s="116">
        <v>7.0000000000000007E-2</v>
      </c>
      <c r="F47" s="25" t="s">
        <v>28</v>
      </c>
      <c r="G47" s="25" t="s">
        <v>30</v>
      </c>
      <c r="H47" s="109"/>
      <c r="J47" s="46">
        <v>0.02</v>
      </c>
      <c r="K47" s="116">
        <v>7.0000000000000007E-2</v>
      </c>
    </row>
    <row r="48" spans="1:11">
      <c r="A48" s="108"/>
      <c r="B48" s="106">
        <v>34</v>
      </c>
      <c r="C48" s="46">
        <v>0.02</v>
      </c>
      <c r="D48" s="25" t="s">
        <v>28</v>
      </c>
      <c r="E48" s="116">
        <v>7.0000000000000007E-2</v>
      </c>
      <c r="F48" s="25" t="s">
        <v>28</v>
      </c>
      <c r="G48" s="25" t="s">
        <v>30</v>
      </c>
      <c r="H48" s="109"/>
      <c r="J48" s="46">
        <v>0.02</v>
      </c>
      <c r="K48" s="116">
        <v>7.0000000000000007E-2</v>
      </c>
    </row>
    <row r="49" spans="1:11">
      <c r="A49" s="108"/>
      <c r="B49" s="106">
        <v>35</v>
      </c>
      <c r="C49" s="46">
        <v>0.02</v>
      </c>
      <c r="D49" s="25" t="s">
        <v>28</v>
      </c>
      <c r="E49" s="116">
        <v>7.0000000000000007E-2</v>
      </c>
      <c r="F49" s="25" t="s">
        <v>28</v>
      </c>
      <c r="G49" s="25" t="s">
        <v>30</v>
      </c>
      <c r="H49" s="109"/>
      <c r="J49" s="46">
        <v>0.02</v>
      </c>
      <c r="K49" s="116">
        <v>7.0000000000000007E-2</v>
      </c>
    </row>
    <row r="50" spans="1:11">
      <c r="A50" s="108"/>
      <c r="B50" s="106">
        <v>36</v>
      </c>
      <c r="C50" s="46">
        <v>0.02</v>
      </c>
      <c r="D50" s="25" t="s">
        <v>28</v>
      </c>
      <c r="E50" s="116">
        <v>7.0000000000000007E-2</v>
      </c>
      <c r="F50" s="25" t="s">
        <v>28</v>
      </c>
      <c r="G50" s="25" t="s">
        <v>30</v>
      </c>
      <c r="H50" s="109"/>
      <c r="J50" s="46">
        <v>0.02</v>
      </c>
      <c r="K50" s="116">
        <v>7.0000000000000007E-2</v>
      </c>
    </row>
    <row r="51" spans="1:11">
      <c r="A51" s="108"/>
      <c r="B51" s="106">
        <v>37</v>
      </c>
      <c r="C51" s="46">
        <v>0.02</v>
      </c>
      <c r="D51" s="25" t="s">
        <v>28</v>
      </c>
      <c r="E51" s="116">
        <v>7.0000000000000007E-2</v>
      </c>
      <c r="F51" s="25" t="s">
        <v>28</v>
      </c>
      <c r="G51" s="25" t="s">
        <v>30</v>
      </c>
      <c r="H51" s="109"/>
      <c r="J51" s="46">
        <v>0.02</v>
      </c>
      <c r="K51" s="116">
        <v>7.0000000000000007E-2</v>
      </c>
    </row>
    <row r="52" spans="1:11">
      <c r="A52" s="108"/>
      <c r="B52" s="106">
        <v>38</v>
      </c>
      <c r="C52" s="46">
        <v>0.02</v>
      </c>
      <c r="D52" s="25" t="s">
        <v>28</v>
      </c>
      <c r="E52" s="116">
        <v>7.0000000000000007E-2</v>
      </c>
      <c r="F52" s="25" t="s">
        <v>28</v>
      </c>
      <c r="G52" s="25" t="s">
        <v>30</v>
      </c>
      <c r="H52" s="109"/>
      <c r="J52" s="46">
        <v>0.02</v>
      </c>
      <c r="K52" s="116">
        <v>7.0000000000000007E-2</v>
      </c>
    </row>
    <row r="53" spans="1:11">
      <c r="A53" s="108"/>
      <c r="B53" s="106">
        <v>39</v>
      </c>
      <c r="C53" s="46">
        <v>0.02</v>
      </c>
      <c r="D53" s="25" t="s">
        <v>28</v>
      </c>
      <c r="E53" s="116">
        <v>7.0000000000000007E-2</v>
      </c>
      <c r="F53" s="25" t="s">
        <v>28</v>
      </c>
      <c r="G53" s="25" t="s">
        <v>30</v>
      </c>
      <c r="H53" s="109"/>
      <c r="J53" s="46">
        <v>0.02</v>
      </c>
      <c r="K53" s="116">
        <v>7.0000000000000007E-2</v>
      </c>
    </row>
    <row r="54" spans="1:11">
      <c r="A54" s="108"/>
      <c r="B54" s="106">
        <v>40</v>
      </c>
      <c r="C54" s="46">
        <v>0.02</v>
      </c>
      <c r="D54" s="25" t="s">
        <v>28</v>
      </c>
      <c r="E54" s="116">
        <v>7.0000000000000007E-2</v>
      </c>
      <c r="F54" s="25" t="s">
        <v>28</v>
      </c>
      <c r="G54" s="25" t="s">
        <v>30</v>
      </c>
      <c r="H54" s="109"/>
      <c r="J54" s="46">
        <v>0.02</v>
      </c>
      <c r="K54" s="116">
        <v>7.0000000000000007E-2</v>
      </c>
    </row>
    <row r="55" spans="1:11">
      <c r="A55" s="110"/>
      <c r="B55" s="111" t="s">
        <v>51</v>
      </c>
      <c r="C55" s="112"/>
      <c r="D55" s="112"/>
      <c r="E55" s="113" t="s">
        <v>52</v>
      </c>
      <c r="F55" s="112"/>
      <c r="G55" s="31"/>
      <c r="H55" s="114"/>
    </row>
    <row r="56" spans="1:11" ht="17.25" thickBot="1">
      <c r="A56" s="110"/>
      <c r="B56" s="111"/>
      <c r="C56" s="112"/>
      <c r="D56" s="112"/>
      <c r="E56" s="113" t="s">
        <v>53</v>
      </c>
      <c r="F56" s="112"/>
      <c r="G56" s="31"/>
      <c r="H56" s="114"/>
    </row>
    <row r="57" spans="1:11" ht="17.25" thickBot="1">
      <c r="B57" s="163" t="s">
        <v>54</v>
      </c>
      <c r="C57" s="164"/>
      <c r="D57" s="165" t="s">
        <v>60</v>
      </c>
      <c r="E57" s="164"/>
      <c r="F57" s="166" t="s">
        <v>57</v>
      </c>
      <c r="G57" s="167"/>
    </row>
    <row r="58" spans="1:11" ht="17.25" thickTop="1">
      <c r="B58" s="146" t="s">
        <v>58</v>
      </c>
      <c r="C58" s="147"/>
      <c r="D58" s="154">
        <f>CORREL(C15:C54,E15:E54)</f>
        <v>0.97604979211582032</v>
      </c>
      <c r="E58" s="155"/>
      <c r="F58" s="156" t="s">
        <v>59</v>
      </c>
      <c r="G58" s="157"/>
    </row>
    <row r="59" spans="1:11">
      <c r="B59" s="148" t="s">
        <v>63</v>
      </c>
      <c r="C59" s="149"/>
      <c r="D59" s="158">
        <v>0.95269999999999999</v>
      </c>
      <c r="E59" s="159"/>
      <c r="F59" s="158" t="s">
        <v>59</v>
      </c>
      <c r="G59" s="160"/>
    </row>
    <row r="60" spans="1:11">
      <c r="B60" s="150" t="s">
        <v>55</v>
      </c>
      <c r="C60" s="151"/>
      <c r="D60" s="158">
        <f>SLOPE(E15:E54,C15:C54)</f>
        <v>1.1291756986446866</v>
      </c>
      <c r="E60" s="159"/>
      <c r="F60" s="161"/>
      <c r="G60" s="162"/>
    </row>
    <row r="61" spans="1:11" ht="17.25" thickBot="1">
      <c r="B61" s="152" t="s">
        <v>56</v>
      </c>
      <c r="C61" s="153"/>
      <c r="D61" s="142">
        <f>INTERCEPT(E15:E54,C15:C54)</f>
        <v>-0.32480494320073738</v>
      </c>
      <c r="E61" s="143"/>
      <c r="F61" s="144"/>
      <c r="G61" s="145"/>
    </row>
  </sheetData>
  <mergeCells count="29">
    <mergeCell ref="C8:D8"/>
    <mergeCell ref="E8:F8"/>
    <mergeCell ref="A1:H1"/>
    <mergeCell ref="C3:E3"/>
    <mergeCell ref="C4:E4"/>
    <mergeCell ref="C7:D7"/>
    <mergeCell ref="E7:F7"/>
    <mergeCell ref="G13:G14"/>
    <mergeCell ref="B57:C57"/>
    <mergeCell ref="C9:D9"/>
    <mergeCell ref="E9:F9"/>
    <mergeCell ref="C10:D10"/>
    <mergeCell ref="E10:F10"/>
    <mergeCell ref="C13:D13"/>
    <mergeCell ref="E13:F13"/>
    <mergeCell ref="D57:E57"/>
    <mergeCell ref="F57:G57"/>
    <mergeCell ref="D61:E61"/>
    <mergeCell ref="F61:G61"/>
    <mergeCell ref="B58:C58"/>
    <mergeCell ref="B59:C59"/>
    <mergeCell ref="B60:C60"/>
    <mergeCell ref="B61:C61"/>
    <mergeCell ref="D58:E58"/>
    <mergeCell ref="F58:G58"/>
    <mergeCell ref="D59:E59"/>
    <mergeCell ref="F59:G59"/>
    <mergeCell ref="D60:E60"/>
    <mergeCell ref="F60:G60"/>
  </mergeCells>
  <phoneticPr fontId="3" type="noConversion"/>
  <conditionalFormatting sqref="G15:G54">
    <cfRule type="cellIs" dxfId="22" priority="27" operator="equal">
      <formula>"Reactive"</formula>
    </cfRule>
  </conditionalFormatting>
  <conditionalFormatting sqref="C3:C4">
    <cfRule type="containsBlanks" dxfId="21" priority="32">
      <formula>LEN(TRIM(C3))=0</formula>
    </cfRule>
  </conditionalFormatting>
  <conditionalFormatting sqref="C15:C54">
    <cfRule type="containsBlanks" dxfId="20" priority="31">
      <formula>LEN(TRIM(C15))=0</formula>
    </cfRule>
  </conditionalFormatting>
  <conditionalFormatting sqref="D15:D54">
    <cfRule type="cellIs" dxfId="19" priority="28" operator="equal">
      <formula>"Reactive"</formula>
    </cfRule>
    <cfRule type="cellIs" dxfId="18" priority="29" operator="equal">
      <formula>"Positive"</formula>
    </cfRule>
    <cfRule type="cellIs" dxfId="17" priority="30" operator="equal">
      <formula>"Negative"</formula>
    </cfRule>
  </conditionalFormatting>
  <conditionalFormatting sqref="F15:F54">
    <cfRule type="cellIs" dxfId="16" priority="22" operator="equal">
      <formula>"Reactive"</formula>
    </cfRule>
    <cfRule type="cellIs" dxfId="15" priority="23" operator="equal">
      <formula>"Positive"</formula>
    </cfRule>
    <cfRule type="cellIs" dxfId="14" priority="24" operator="equal">
      <formula>"Negative"</formula>
    </cfRule>
  </conditionalFormatting>
  <conditionalFormatting sqref="E35:E54">
    <cfRule type="containsBlanks" dxfId="13" priority="14">
      <formula>LEN(TRIM(E35))=0</formula>
    </cfRule>
  </conditionalFormatting>
  <conditionalFormatting sqref="E35:E54">
    <cfRule type="cellIs" dxfId="12" priority="12" operator="equal">
      <formula>240</formula>
    </cfRule>
    <cfRule type="cellIs" dxfId="11" priority="13" operator="equal">
      <formula>0.4</formula>
    </cfRule>
  </conditionalFormatting>
  <conditionalFormatting sqref="E15:E34">
    <cfRule type="containsBlanks" dxfId="10" priority="11">
      <formula>LEN(TRIM(E15))=0</formula>
    </cfRule>
  </conditionalFormatting>
  <conditionalFormatting sqref="E15:E34">
    <cfRule type="cellIs" dxfId="9" priority="9" operator="equal">
      <formula>240</formula>
    </cfRule>
    <cfRule type="cellIs" dxfId="8" priority="10" operator="equal">
      <formula>0.4</formula>
    </cfRule>
  </conditionalFormatting>
  <conditionalFormatting sqref="F58:G58 F60:G61 F59">
    <cfRule type="containsText" dxfId="7" priority="8" operator="containsText" text="un">
      <formula>NOT(ISERROR(SEARCH("un",F58)))</formula>
    </cfRule>
  </conditionalFormatting>
  <conditionalFormatting sqref="J15:J54">
    <cfRule type="containsBlanks" dxfId="6" priority="7">
      <formula>LEN(TRIM(J15))=0</formula>
    </cfRule>
  </conditionalFormatting>
  <conditionalFormatting sqref="K35:K54">
    <cfRule type="containsBlanks" dxfId="5" priority="6">
      <formula>LEN(TRIM(K35))=0</formula>
    </cfRule>
  </conditionalFormatting>
  <conditionalFormatting sqref="K35:K54">
    <cfRule type="cellIs" dxfId="4" priority="4" operator="equal">
      <formula>240</formula>
    </cfRule>
    <cfRule type="cellIs" dxfId="3" priority="5" operator="equal">
      <formula>0.4</formula>
    </cfRule>
  </conditionalFormatting>
  <conditionalFormatting sqref="K15:K34">
    <cfRule type="containsBlanks" dxfId="2" priority="3">
      <formula>LEN(TRIM(K15))=0</formula>
    </cfRule>
  </conditionalFormatting>
  <conditionalFormatting sqref="K15:K34">
    <cfRule type="cellIs" dxfId="1" priority="1" operator="equal">
      <formula>240</formula>
    </cfRule>
    <cfRule type="cellIs" dxfId="0" priority="2" operator="equal">
      <formula>0.4</formula>
    </cfRule>
  </conditionalFormatting>
  <dataValidations count="1">
    <dataValidation type="list" allowBlank="1" showInputMessage="1" showErrorMessage="1" sqref="F58:F61 G58 G60:G61">
      <formula1>$X$30:$X$31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재현성</vt:lpstr>
      <vt:lpstr>상관성</vt:lpstr>
      <vt:lpstr>상관성 (2)</vt:lpstr>
      <vt:lpstr>상관성!Print_Titles</vt:lpstr>
      <vt:lpstr>'상관성 (2)'!Print_Titles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parkheyjin</dc:creator>
  <cp:lastModifiedBy>parkheyjin</cp:lastModifiedBy>
  <cp:lastPrinted>2024-11-18T09:55:10Z</cp:lastPrinted>
  <dcterms:created xsi:type="dcterms:W3CDTF">2024-11-15T05:55:41Z</dcterms:created>
  <dcterms:modified xsi:type="dcterms:W3CDTF">2024-11-18T10:20:43Z</dcterms:modified>
</cp:coreProperties>
</file>